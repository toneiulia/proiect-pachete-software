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7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ogdan/Downloads/"/>
    </mc:Choice>
  </mc:AlternateContent>
  <xr:revisionPtr revIDLastSave="0" documentId="13_ncr:1_{5FA2CE79-A1CE-9746-ADCD-EF86B98D436F}" xr6:coauthVersionLast="47" xr6:coauthVersionMax="47" xr10:uidLastSave="{00000000-0000-0000-0000-000000000000}"/>
  <bookViews>
    <workbookView xWindow="0" yWindow="500" windowWidth="33600" windowHeight="19340" activeTab="4" xr2:uid="{00000000-000D-0000-FFFF-FFFF00000000}"/>
  </bookViews>
  <sheets>
    <sheet name="Vanzari" sheetId="3" r:id="rId1"/>
    <sheet name="Functii" sheetId="7" r:id="rId2"/>
    <sheet name="Pivot table" sheetId="6" r:id="rId3"/>
    <sheet name="Grafic1" sheetId="10" r:id="rId4"/>
    <sheet name="Grafic2" sheetId="11" r:id="rId5"/>
  </sheets>
  <functionGroups builtInGroupCount="19"/>
  <definedNames>
    <definedName name="_xlnm._FilterDatabase" localSheetId="0" hidden="1">Vanzari!$A$1:$P$245</definedName>
  </definedNames>
  <calcPr calcId="191029"/>
  <pivotCaches>
    <pivotCache cacheId="1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7" l="1"/>
  <c r="D10" i="7"/>
  <c r="D6" i="7"/>
  <c r="J2" i="3"/>
  <c r="K2" i="3" s="1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J245" i="3"/>
  <c r="I245" i="3"/>
  <c r="J244" i="3"/>
  <c r="I244" i="3"/>
  <c r="J243" i="3"/>
  <c r="I243" i="3"/>
  <c r="J242" i="3"/>
  <c r="I242" i="3"/>
  <c r="J241" i="3"/>
  <c r="I241" i="3"/>
  <c r="J240" i="3"/>
  <c r="I240" i="3"/>
  <c r="J239" i="3"/>
  <c r="I239" i="3"/>
  <c r="J238" i="3"/>
  <c r="I238" i="3"/>
  <c r="J237" i="3"/>
  <c r="I237" i="3"/>
  <c r="J236" i="3"/>
  <c r="I236" i="3"/>
  <c r="J235" i="3"/>
  <c r="I235" i="3"/>
  <c r="J234" i="3"/>
  <c r="I234" i="3"/>
  <c r="J233" i="3"/>
  <c r="I233" i="3"/>
  <c r="J232" i="3"/>
  <c r="I232" i="3"/>
  <c r="J231" i="3"/>
  <c r="I231" i="3"/>
  <c r="J230" i="3"/>
  <c r="I230" i="3"/>
  <c r="J229" i="3"/>
  <c r="I229" i="3"/>
  <c r="J228" i="3"/>
  <c r="I228" i="3"/>
  <c r="J227" i="3"/>
  <c r="I227" i="3"/>
  <c r="J226" i="3"/>
  <c r="I226" i="3"/>
  <c r="J225" i="3"/>
  <c r="I225" i="3"/>
  <c r="J224" i="3"/>
  <c r="I224" i="3"/>
  <c r="J223" i="3"/>
  <c r="I223" i="3"/>
  <c r="J222" i="3"/>
  <c r="I222" i="3"/>
  <c r="J221" i="3"/>
  <c r="I221" i="3"/>
  <c r="J220" i="3"/>
  <c r="I220" i="3"/>
  <c r="J219" i="3"/>
  <c r="I219" i="3"/>
  <c r="J218" i="3"/>
  <c r="I218" i="3"/>
  <c r="J217" i="3"/>
  <c r="I217" i="3"/>
  <c r="J216" i="3"/>
  <c r="I216" i="3"/>
  <c r="J215" i="3"/>
  <c r="I215" i="3"/>
  <c r="J214" i="3"/>
  <c r="I214" i="3"/>
  <c r="J213" i="3"/>
  <c r="I213" i="3"/>
  <c r="J212" i="3"/>
  <c r="I212" i="3"/>
  <c r="J211" i="3"/>
  <c r="I211" i="3"/>
  <c r="J210" i="3"/>
  <c r="I210" i="3"/>
  <c r="J209" i="3"/>
  <c r="I209" i="3"/>
  <c r="J208" i="3"/>
  <c r="I208" i="3"/>
  <c r="J207" i="3"/>
  <c r="I207" i="3"/>
  <c r="J206" i="3"/>
  <c r="I206" i="3"/>
  <c r="J205" i="3"/>
  <c r="I205" i="3"/>
  <c r="J204" i="3"/>
  <c r="I204" i="3"/>
  <c r="J203" i="3"/>
  <c r="I203" i="3"/>
  <c r="J202" i="3"/>
  <c r="I202" i="3"/>
  <c r="J201" i="3"/>
  <c r="I201" i="3"/>
  <c r="J200" i="3"/>
  <c r="I200" i="3"/>
  <c r="J199" i="3"/>
  <c r="I199" i="3"/>
  <c r="J198" i="3"/>
  <c r="I198" i="3"/>
  <c r="J197" i="3"/>
  <c r="I197" i="3"/>
  <c r="J196" i="3"/>
  <c r="I196" i="3"/>
  <c r="J195" i="3"/>
  <c r="I195" i="3"/>
  <c r="J194" i="3"/>
  <c r="I194" i="3"/>
  <c r="J193" i="3"/>
  <c r="I193" i="3"/>
  <c r="J192" i="3"/>
  <c r="I192" i="3"/>
  <c r="J191" i="3"/>
  <c r="I191" i="3"/>
  <c r="J190" i="3"/>
  <c r="I190" i="3"/>
  <c r="J189" i="3"/>
  <c r="I189" i="3"/>
  <c r="J188" i="3"/>
  <c r="I188" i="3"/>
  <c r="J187" i="3"/>
  <c r="I187" i="3"/>
  <c r="J186" i="3"/>
  <c r="I186" i="3"/>
  <c r="J185" i="3"/>
  <c r="I185" i="3"/>
  <c r="J184" i="3"/>
  <c r="I184" i="3"/>
  <c r="J183" i="3"/>
  <c r="I183" i="3"/>
  <c r="J182" i="3"/>
  <c r="I182" i="3"/>
  <c r="J181" i="3"/>
  <c r="I181" i="3"/>
  <c r="J180" i="3"/>
  <c r="I180" i="3"/>
  <c r="J179" i="3"/>
  <c r="I179" i="3"/>
  <c r="J178" i="3"/>
  <c r="I178" i="3"/>
  <c r="J177" i="3"/>
  <c r="I177" i="3"/>
  <c r="J176" i="3"/>
  <c r="I176" i="3"/>
  <c r="J175" i="3"/>
  <c r="I175" i="3"/>
  <c r="J174" i="3"/>
  <c r="I174" i="3"/>
  <c r="J173" i="3"/>
  <c r="I173" i="3"/>
  <c r="J172" i="3"/>
  <c r="I172" i="3"/>
  <c r="J171" i="3"/>
  <c r="I171" i="3"/>
  <c r="J170" i="3"/>
  <c r="I170" i="3"/>
  <c r="J169" i="3"/>
  <c r="I169" i="3"/>
  <c r="J168" i="3"/>
  <c r="I168" i="3"/>
  <c r="J167" i="3"/>
  <c r="I167" i="3"/>
  <c r="J166" i="3"/>
  <c r="I166" i="3"/>
  <c r="J165" i="3"/>
  <c r="I165" i="3"/>
  <c r="J164" i="3"/>
  <c r="I164" i="3"/>
  <c r="J163" i="3"/>
  <c r="I163" i="3"/>
  <c r="J162" i="3"/>
  <c r="I162" i="3"/>
  <c r="J161" i="3"/>
  <c r="I161" i="3"/>
  <c r="J160" i="3"/>
  <c r="I160" i="3"/>
  <c r="J159" i="3"/>
  <c r="I159" i="3"/>
  <c r="J158" i="3"/>
  <c r="I158" i="3"/>
  <c r="J157" i="3"/>
  <c r="I157" i="3"/>
  <c r="J156" i="3"/>
  <c r="I156" i="3"/>
  <c r="J155" i="3"/>
  <c r="I155" i="3"/>
  <c r="J154" i="3"/>
  <c r="I154" i="3"/>
  <c r="J153" i="3"/>
  <c r="I153" i="3"/>
  <c r="J152" i="3"/>
  <c r="I152" i="3"/>
  <c r="J151" i="3"/>
  <c r="I151" i="3"/>
  <c r="J150" i="3"/>
  <c r="I150" i="3"/>
  <c r="J149" i="3"/>
  <c r="I149" i="3"/>
  <c r="J148" i="3"/>
  <c r="I148" i="3"/>
  <c r="J147" i="3"/>
  <c r="I147" i="3"/>
  <c r="J146" i="3"/>
  <c r="I146" i="3"/>
  <c r="J145" i="3"/>
  <c r="I145" i="3"/>
  <c r="J144" i="3"/>
  <c r="I144" i="3"/>
  <c r="J143" i="3"/>
  <c r="I143" i="3"/>
  <c r="J142" i="3"/>
  <c r="I142" i="3"/>
  <c r="J141" i="3"/>
  <c r="I141" i="3"/>
  <c r="J140" i="3"/>
  <c r="I140" i="3"/>
  <c r="J139" i="3"/>
  <c r="K139" i="3" s="1"/>
  <c r="I139" i="3"/>
  <c r="J138" i="3"/>
  <c r="I138" i="3"/>
  <c r="J137" i="3"/>
  <c r="I137" i="3"/>
  <c r="J136" i="3"/>
  <c r="I136" i="3"/>
  <c r="J135" i="3"/>
  <c r="I135" i="3"/>
  <c r="J134" i="3"/>
  <c r="I134" i="3"/>
  <c r="J133" i="3"/>
  <c r="I133" i="3"/>
  <c r="J132" i="3"/>
  <c r="I132" i="3"/>
  <c r="J131" i="3"/>
  <c r="I131" i="3"/>
  <c r="J130" i="3"/>
  <c r="I130" i="3"/>
  <c r="J129" i="3"/>
  <c r="I129" i="3"/>
  <c r="J128" i="3"/>
  <c r="I128" i="3"/>
  <c r="J127" i="3"/>
  <c r="I127" i="3"/>
  <c r="J126" i="3"/>
  <c r="I126" i="3"/>
  <c r="J125" i="3"/>
  <c r="I125" i="3"/>
  <c r="J124" i="3"/>
  <c r="I124" i="3"/>
  <c r="J123" i="3"/>
  <c r="I123" i="3"/>
  <c r="J122" i="3"/>
  <c r="I122" i="3"/>
  <c r="J121" i="3"/>
  <c r="I121" i="3"/>
  <c r="J120" i="3"/>
  <c r="I120" i="3"/>
  <c r="J119" i="3"/>
  <c r="I119" i="3"/>
  <c r="J118" i="3"/>
  <c r="I118" i="3"/>
  <c r="J117" i="3"/>
  <c r="I117" i="3"/>
  <c r="J116" i="3"/>
  <c r="I116" i="3"/>
  <c r="J115" i="3"/>
  <c r="I115" i="3"/>
  <c r="J114" i="3"/>
  <c r="I114" i="3"/>
  <c r="J113" i="3"/>
  <c r="I113" i="3"/>
  <c r="J112" i="3"/>
  <c r="I112" i="3"/>
  <c r="J111" i="3"/>
  <c r="I111" i="3"/>
  <c r="J110" i="3"/>
  <c r="I110" i="3"/>
  <c r="J109" i="3"/>
  <c r="I109" i="3"/>
  <c r="J108" i="3"/>
  <c r="I108" i="3"/>
  <c r="J107" i="3"/>
  <c r="I107" i="3"/>
  <c r="J106" i="3"/>
  <c r="I106" i="3"/>
  <c r="J105" i="3"/>
  <c r="I105" i="3"/>
  <c r="J104" i="3"/>
  <c r="I104" i="3"/>
  <c r="J103" i="3"/>
  <c r="I103" i="3"/>
  <c r="J102" i="3"/>
  <c r="I102" i="3"/>
  <c r="J101" i="3"/>
  <c r="I101" i="3"/>
  <c r="J100" i="3"/>
  <c r="I100" i="3"/>
  <c r="J99" i="3"/>
  <c r="I99" i="3"/>
  <c r="J98" i="3"/>
  <c r="I98" i="3"/>
  <c r="J97" i="3"/>
  <c r="I97" i="3"/>
  <c r="J96" i="3"/>
  <c r="I96" i="3"/>
  <c r="J95" i="3"/>
  <c r="I95" i="3"/>
  <c r="J94" i="3"/>
  <c r="I94" i="3"/>
  <c r="J93" i="3"/>
  <c r="I93" i="3"/>
  <c r="J92" i="3"/>
  <c r="I92" i="3"/>
  <c r="J91" i="3"/>
  <c r="I91" i="3"/>
  <c r="J90" i="3"/>
  <c r="I90" i="3"/>
  <c r="J89" i="3"/>
  <c r="I89" i="3"/>
  <c r="J88" i="3"/>
  <c r="I88" i="3"/>
  <c r="J87" i="3"/>
  <c r="I87" i="3"/>
  <c r="J86" i="3"/>
  <c r="I86" i="3"/>
  <c r="J85" i="3"/>
  <c r="I85" i="3"/>
  <c r="J84" i="3"/>
  <c r="I84" i="3"/>
  <c r="J83" i="3"/>
  <c r="I83" i="3"/>
  <c r="J82" i="3"/>
  <c r="I82" i="3"/>
  <c r="J81" i="3"/>
  <c r="I81" i="3"/>
  <c r="J80" i="3"/>
  <c r="I80" i="3"/>
  <c r="J79" i="3"/>
  <c r="I79" i="3"/>
  <c r="J78" i="3"/>
  <c r="I78" i="3"/>
  <c r="J77" i="3"/>
  <c r="I77" i="3"/>
  <c r="J76" i="3"/>
  <c r="I76" i="3"/>
  <c r="J75" i="3"/>
  <c r="I75" i="3"/>
  <c r="J74" i="3"/>
  <c r="I74" i="3"/>
  <c r="J73" i="3"/>
  <c r="I73" i="3"/>
  <c r="J72" i="3"/>
  <c r="I72" i="3"/>
  <c r="J71" i="3"/>
  <c r="I71" i="3"/>
  <c r="J70" i="3"/>
  <c r="I70" i="3"/>
  <c r="J69" i="3"/>
  <c r="I69" i="3"/>
  <c r="J68" i="3"/>
  <c r="I68" i="3"/>
  <c r="J67" i="3"/>
  <c r="I67" i="3"/>
  <c r="J66" i="3"/>
  <c r="I66" i="3"/>
  <c r="J65" i="3"/>
  <c r="I65" i="3"/>
  <c r="J64" i="3"/>
  <c r="I64" i="3"/>
  <c r="J63" i="3"/>
  <c r="I63" i="3"/>
  <c r="J62" i="3"/>
  <c r="I62" i="3"/>
  <c r="J61" i="3"/>
  <c r="I61" i="3"/>
  <c r="J60" i="3"/>
  <c r="I60" i="3"/>
  <c r="J59" i="3"/>
  <c r="I59" i="3"/>
  <c r="J58" i="3"/>
  <c r="I58" i="3"/>
  <c r="J57" i="3"/>
  <c r="I57" i="3"/>
  <c r="J56" i="3"/>
  <c r="I56" i="3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J45" i="3"/>
  <c r="I45" i="3"/>
  <c r="J44" i="3"/>
  <c r="I44" i="3"/>
  <c r="J43" i="3"/>
  <c r="I43" i="3"/>
  <c r="J42" i="3"/>
  <c r="I42" i="3"/>
  <c r="J41" i="3"/>
  <c r="I41" i="3"/>
  <c r="J40" i="3"/>
  <c r="I40" i="3"/>
  <c r="J39" i="3"/>
  <c r="I39" i="3"/>
  <c r="J38" i="3"/>
  <c r="I38" i="3"/>
  <c r="J37" i="3"/>
  <c r="I37" i="3"/>
  <c r="J36" i="3"/>
  <c r="I36" i="3"/>
  <c r="J35" i="3"/>
  <c r="I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L179" i="3" l="1"/>
  <c r="L116" i="3"/>
  <c r="L92" i="3"/>
  <c r="L64" i="3"/>
  <c r="L25" i="3"/>
  <c r="L192" i="3"/>
  <c r="L119" i="3"/>
  <c r="L190" i="3"/>
  <c r="L146" i="3"/>
  <c r="L227" i="3"/>
  <c r="L22" i="3"/>
  <c r="L12" i="3"/>
  <c r="L122" i="3"/>
  <c r="L188" i="3"/>
  <c r="L178" i="3"/>
  <c r="L226" i="3"/>
  <c r="L31" i="3"/>
  <c r="L77" i="3"/>
  <c r="L193" i="3"/>
  <c r="L17" i="3"/>
  <c r="L65" i="3"/>
  <c r="L11" i="3"/>
  <c r="L200" i="3"/>
  <c r="L117" i="3"/>
  <c r="L66" i="3"/>
  <c r="L189" i="3"/>
  <c r="L228" i="3"/>
  <c r="L27" i="3"/>
  <c r="L153" i="3"/>
  <c r="L87" i="3"/>
  <c r="L198" i="3"/>
  <c r="L241" i="3"/>
  <c r="L208" i="3"/>
  <c r="L120" i="3"/>
  <c r="L229" i="3"/>
  <c r="L195" i="3"/>
  <c r="L223" i="3"/>
  <c r="L180" i="3"/>
  <c r="L143" i="3"/>
  <c r="L243" i="3"/>
  <c r="L48" i="3"/>
  <c r="L163" i="3"/>
  <c r="L81" i="3"/>
  <c r="L187" i="3"/>
  <c r="L121" i="3"/>
  <c r="L204" i="3"/>
  <c r="L239" i="3"/>
  <c r="L44" i="3"/>
  <c r="L8" i="3"/>
  <c r="L203" i="3"/>
  <c r="L105" i="3"/>
  <c r="L95" i="3"/>
  <c r="L57" i="3"/>
  <c r="L197" i="3"/>
  <c r="L115" i="3"/>
  <c r="L210" i="3"/>
  <c r="L111" i="3"/>
  <c r="L201" i="3"/>
  <c r="L232" i="3"/>
  <c r="L175" i="3"/>
  <c r="L42" i="3"/>
  <c r="L212" i="3"/>
  <c r="L112" i="3"/>
  <c r="L183" i="3"/>
  <c r="L110" i="3"/>
  <c r="L56" i="3"/>
  <c r="L214" i="3"/>
  <c r="L45" i="3"/>
  <c r="L211" i="3"/>
  <c r="L233" i="3"/>
  <c r="L213" i="3"/>
  <c r="L80" i="3"/>
  <c r="L73" i="3"/>
  <c r="L196" i="3"/>
  <c r="L100" i="3"/>
  <c r="L52" i="3"/>
  <c r="L13" i="3"/>
  <c r="L173" i="3"/>
  <c r="L108" i="3"/>
  <c r="L61" i="3"/>
  <c r="L166" i="3"/>
  <c r="L54" i="3"/>
  <c r="L209" i="3"/>
  <c r="L10" i="3"/>
  <c r="L186" i="3"/>
  <c r="L242" i="3"/>
  <c r="L182" i="3"/>
  <c r="L74" i="3"/>
  <c r="L50" i="3"/>
  <c r="L194" i="3"/>
  <c r="L63" i="3"/>
  <c r="L152" i="3"/>
  <c r="L99" i="3"/>
  <c r="L138" i="3"/>
  <c r="L225" i="3"/>
  <c r="L89" i="3"/>
  <c r="L169" i="3"/>
  <c r="L98" i="3"/>
  <c r="L181" i="3"/>
  <c r="L28" i="3"/>
  <c r="L40" i="3"/>
  <c r="L113" i="3"/>
  <c r="L137" i="3"/>
  <c r="L244" i="3"/>
  <c r="L157" i="3"/>
  <c r="L72" i="3"/>
  <c r="L15" i="3"/>
  <c r="L147" i="3"/>
  <c r="L69" i="3"/>
  <c r="L191" i="3"/>
  <c r="L234" i="3"/>
  <c r="L132" i="3"/>
  <c r="L82" i="3"/>
  <c r="L18" i="3"/>
  <c r="L165" i="3"/>
  <c r="L32" i="3"/>
  <c r="L103" i="3"/>
  <c r="L125" i="3"/>
  <c r="L235" i="3"/>
  <c r="L93" i="3"/>
  <c r="L58" i="3"/>
  <c r="L70" i="3"/>
  <c r="L26" i="3"/>
  <c r="L127" i="3"/>
  <c r="L236" i="3"/>
  <c r="L131" i="3"/>
  <c r="L68" i="3"/>
  <c r="L135" i="3"/>
  <c r="L114" i="3"/>
  <c r="L126" i="3"/>
  <c r="L47" i="3"/>
  <c r="L177" i="3"/>
  <c r="L231" i="3"/>
  <c r="L51" i="3"/>
  <c r="L29" i="3"/>
  <c r="L168" i="3"/>
  <c r="L230" i="3"/>
  <c r="L19" i="3"/>
  <c r="L128" i="3"/>
  <c r="L245" i="3"/>
  <c r="L21" i="3"/>
  <c r="L91" i="3"/>
  <c r="L129" i="3"/>
  <c r="L75" i="3"/>
  <c r="L170" i="3"/>
  <c r="L238" i="3"/>
  <c r="L216" i="3"/>
  <c r="L240" i="3"/>
  <c r="L176" i="3"/>
  <c r="L237" i="3"/>
  <c r="L161" i="3"/>
  <c r="L59" i="3"/>
  <c r="L185" i="3"/>
  <c r="L33" i="3"/>
  <c r="L83" i="3"/>
  <c r="L172" i="3"/>
  <c r="L107" i="3"/>
  <c r="L156" i="3"/>
  <c r="L220" i="3"/>
  <c r="L62" i="3"/>
  <c r="L142" i="3"/>
  <c r="L60" i="3"/>
  <c r="L39" i="3"/>
  <c r="L20" i="3"/>
  <c r="L148" i="3"/>
  <c r="L2" i="3"/>
  <c r="L41" i="3"/>
  <c r="L154" i="3"/>
  <c r="L224" i="3"/>
  <c r="L7" i="3"/>
  <c r="L167" i="3"/>
  <c r="L3" i="3"/>
  <c r="L9" i="3"/>
  <c r="L136" i="3"/>
  <c r="L55" i="3"/>
  <c r="L104" i="3"/>
  <c r="L162" i="3"/>
  <c r="L144" i="3"/>
  <c r="L6" i="3"/>
  <c r="L130" i="3"/>
  <c r="L174" i="3"/>
  <c r="L5" i="3"/>
  <c r="L101" i="3"/>
  <c r="L139" i="3"/>
  <c r="L24" i="3"/>
  <c r="L30" i="3"/>
  <c r="L35" i="3"/>
  <c r="L171" i="3"/>
  <c r="L134" i="3"/>
  <c r="L23" i="3"/>
  <c r="L118" i="3"/>
  <c r="L4" i="3"/>
  <c r="L53" i="3"/>
  <c r="L215" i="3"/>
  <c r="L71" i="3"/>
  <c r="L34" i="3"/>
  <c r="L158" i="3"/>
  <c r="L219" i="3"/>
  <c r="L202" i="3"/>
  <c r="L207" i="3"/>
  <c r="L38" i="3"/>
  <c r="L149" i="3"/>
  <c r="L84" i="3"/>
  <c r="L140" i="3"/>
  <c r="L222" i="3"/>
  <c r="L155" i="3"/>
  <c r="L67" i="3"/>
  <c r="L141" i="3"/>
  <c r="L217" i="3"/>
  <c r="L150" i="3"/>
  <c r="L43" i="3"/>
  <c r="L199" i="3"/>
  <c r="L218" i="3"/>
  <c r="L205" i="3"/>
  <c r="L49" i="3"/>
  <c r="L90" i="3"/>
  <c r="L14" i="3"/>
  <c r="L145" i="3"/>
  <c r="L76" i="3"/>
  <c r="L206" i="3"/>
  <c r="L97" i="3"/>
  <c r="L159" i="3"/>
  <c r="L124" i="3"/>
  <c r="L221" i="3"/>
  <c r="L16" i="3"/>
  <c r="L184" i="3"/>
  <c r="L85" i="3"/>
  <c r="L133" i="3"/>
  <c r="L88" i="3"/>
  <c r="L36" i="3"/>
  <c r="L123" i="3"/>
  <c r="L86" i="3"/>
  <c r="L94" i="3"/>
  <c r="L106" i="3"/>
  <c r="L164" i="3"/>
  <c r="L79" i="3"/>
  <c r="L160" i="3"/>
  <c r="L102" i="3"/>
  <c r="L78" i="3"/>
  <c r="L37" i="3"/>
  <c r="L96" i="3"/>
  <c r="L109" i="3"/>
  <c r="L151" i="3"/>
  <c r="L46" i="3"/>
  <c r="K12" i="3"/>
  <c r="K226" i="3"/>
  <c r="K193" i="3"/>
  <c r="K117" i="3"/>
  <c r="K27" i="3"/>
  <c r="K241" i="3"/>
  <c r="K195" i="3"/>
  <c r="K143" i="3"/>
  <c r="K243" i="3"/>
  <c r="K48" i="3"/>
  <c r="K187" i="3"/>
  <c r="K44" i="3"/>
  <c r="K8" i="3"/>
  <c r="K57" i="3"/>
  <c r="K210" i="3"/>
  <c r="K201" i="3"/>
  <c r="K175" i="3"/>
  <c r="K183" i="3"/>
  <c r="K214" i="3"/>
  <c r="K45" i="3"/>
  <c r="K233" i="3"/>
  <c r="K80" i="3"/>
  <c r="K52" i="3"/>
  <c r="K173" i="3"/>
  <c r="K54" i="3"/>
  <c r="K10" i="3"/>
  <c r="K74" i="3"/>
  <c r="K50" i="3"/>
  <c r="K63" i="3"/>
  <c r="K99" i="3"/>
  <c r="K89" i="3"/>
  <c r="K169" i="3"/>
  <c r="K98" i="3"/>
  <c r="K28" i="3"/>
  <c r="K40" i="3"/>
  <c r="K244" i="3"/>
  <c r="K147" i="3"/>
  <c r="K191" i="3"/>
  <c r="K234" i="3"/>
  <c r="K132" i="3"/>
  <c r="K32" i="3"/>
  <c r="K235" i="3"/>
  <c r="K93" i="3"/>
  <c r="K58" i="3"/>
  <c r="K127" i="3"/>
  <c r="K236" i="3"/>
  <c r="K135" i="3"/>
  <c r="K47" i="3"/>
  <c r="K177" i="3"/>
  <c r="K231" i="3"/>
  <c r="K51" i="3"/>
  <c r="K168" i="3"/>
  <c r="K19" i="3"/>
  <c r="K245" i="3"/>
  <c r="K21" i="3"/>
  <c r="K129" i="3"/>
  <c r="M129" i="3" s="1"/>
  <c r="K75" i="3"/>
  <c r="K216" i="3"/>
  <c r="K240" i="3"/>
  <c r="K176" i="3"/>
  <c r="K237" i="3"/>
  <c r="K161" i="3"/>
  <c r="K59" i="3"/>
  <c r="K83" i="3"/>
  <c r="K172" i="3"/>
  <c r="K107" i="3"/>
  <c r="K62" i="3"/>
  <c r="K142" i="3"/>
  <c r="K20" i="3"/>
  <c r="K41" i="3"/>
  <c r="K167" i="3"/>
  <c r="M167" i="3" s="1"/>
  <c r="K9" i="3"/>
  <c r="K136" i="3"/>
  <c r="K55" i="3"/>
  <c r="K104" i="3"/>
  <c r="K6" i="3"/>
  <c r="K130" i="3"/>
  <c r="K174" i="3"/>
  <c r="K101" i="3"/>
  <c r="K24" i="3"/>
  <c r="K171" i="3"/>
  <c r="K134" i="3"/>
  <c r="K118" i="3"/>
  <c r="K4" i="3"/>
  <c r="K215" i="3"/>
  <c r="K34" i="3"/>
  <c r="K219" i="3"/>
  <c r="K202" i="3"/>
  <c r="K207" i="3"/>
  <c r="K149" i="3"/>
  <c r="K84" i="3"/>
  <c r="M84" i="3" s="1"/>
  <c r="K140" i="3"/>
  <c r="K222" i="3"/>
  <c r="K155" i="3"/>
  <c r="K67" i="3"/>
  <c r="M67" i="3" s="1"/>
  <c r="K141" i="3"/>
  <c r="K217" i="3"/>
  <c r="K150" i="3"/>
  <c r="K199" i="3"/>
  <c r="K205" i="3"/>
  <c r="K49" i="3"/>
  <c r="K90" i="3"/>
  <c r="K145" i="3"/>
  <c r="K76" i="3"/>
  <c r="K206" i="3"/>
  <c r="K97" i="3"/>
  <c r="K159" i="3"/>
  <c r="K221" i="3"/>
  <c r="K16" i="3"/>
  <c r="K85" i="3"/>
  <c r="K133" i="3"/>
  <c r="K88" i="3"/>
  <c r="K123" i="3"/>
  <c r="K86" i="3"/>
  <c r="K106" i="3"/>
  <c r="K79" i="3"/>
  <c r="K160" i="3"/>
  <c r="K102" i="3"/>
  <c r="K78" i="3"/>
  <c r="K37" i="3"/>
  <c r="K109" i="3"/>
  <c r="K151" i="3"/>
  <c r="K46" i="3"/>
  <c r="K154" i="3" l="1"/>
  <c r="M154" i="3" s="1"/>
  <c r="K152" i="3"/>
  <c r="K61" i="3"/>
  <c r="M61" i="3" s="1"/>
  <c r="K64" i="3"/>
  <c r="M172" i="3" s="1"/>
  <c r="K164" i="3"/>
  <c r="M164" i="3" s="1"/>
  <c r="K124" i="3"/>
  <c r="M76" i="3"/>
  <c r="O76" i="3" s="1"/>
  <c r="K43" i="3"/>
  <c r="M43" i="3" s="1"/>
  <c r="K71" i="3"/>
  <c r="M71" i="3" s="1"/>
  <c r="K35" i="3"/>
  <c r="M35" i="3" s="1"/>
  <c r="K39" i="3"/>
  <c r="M39" i="3" s="1"/>
  <c r="K220" i="3"/>
  <c r="M220" i="3" s="1"/>
  <c r="K128" i="3"/>
  <c r="K29" i="3"/>
  <c r="M149" i="3" s="1"/>
  <c r="K68" i="3"/>
  <c r="M68" i="3" s="1"/>
  <c r="K26" i="3"/>
  <c r="M26" i="3" s="1"/>
  <c r="K165" i="3"/>
  <c r="M165" i="3" s="1"/>
  <c r="K15" i="3"/>
  <c r="M15" i="3" s="1"/>
  <c r="K137" i="3"/>
  <c r="M137" i="3" s="1"/>
  <c r="K181" i="3"/>
  <c r="M181" i="3" s="1"/>
  <c r="K225" i="3"/>
  <c r="M225" i="3" s="1"/>
  <c r="N225" i="3" s="1"/>
  <c r="K182" i="3"/>
  <c r="M182" i="3" s="1"/>
  <c r="O182" i="3" s="1"/>
  <c r="K209" i="3"/>
  <c r="M209" i="3" s="1"/>
  <c r="K108" i="3"/>
  <c r="M108" i="3" s="1"/>
  <c r="K100" i="3"/>
  <c r="M100" i="3" s="1"/>
  <c r="K213" i="3"/>
  <c r="M213" i="3" s="1"/>
  <c r="K112" i="3"/>
  <c r="M112" i="3" s="1"/>
  <c r="K232" i="3"/>
  <c r="M232" i="3" s="1"/>
  <c r="K115" i="3"/>
  <c r="M115" i="3" s="1"/>
  <c r="K105" i="3"/>
  <c r="M233" i="3" s="1"/>
  <c r="K239" i="3"/>
  <c r="M239" i="3" s="1"/>
  <c r="K81" i="3"/>
  <c r="K229" i="3"/>
  <c r="M229" i="3" s="1"/>
  <c r="K198" i="3"/>
  <c r="M198" i="3" s="1"/>
  <c r="K228" i="3"/>
  <c r="M228" i="3" s="1"/>
  <c r="K200" i="3"/>
  <c r="M200" i="3" s="1"/>
  <c r="K178" i="3"/>
  <c r="M178" i="3" s="1"/>
  <c r="K22" i="3"/>
  <c r="M22" i="3" s="1"/>
  <c r="N22" i="3" s="1"/>
  <c r="K119" i="3"/>
  <c r="M119" i="3" s="1"/>
  <c r="K116" i="3"/>
  <c r="M116" i="3" s="1"/>
  <c r="K3" i="3"/>
  <c r="M3" i="3" s="1"/>
  <c r="K95" i="3"/>
  <c r="M95" i="3" s="1"/>
  <c r="K17" i="3"/>
  <c r="M17" i="3" s="1"/>
  <c r="K36" i="3"/>
  <c r="M36" i="3" s="1"/>
  <c r="K184" i="3"/>
  <c r="M184" i="3" s="1"/>
  <c r="K23" i="3"/>
  <c r="K30" i="3"/>
  <c r="M30" i="3" s="1"/>
  <c r="K5" i="3"/>
  <c r="M5" i="3" s="1"/>
  <c r="K144" i="3"/>
  <c r="K7" i="3"/>
  <c r="M7" i="3" s="1"/>
  <c r="M2" i="3"/>
  <c r="N2" i="3" s="1"/>
  <c r="K60" i="3"/>
  <c r="M60" i="3" s="1"/>
  <c r="K156" i="3"/>
  <c r="M156" i="3" s="1"/>
  <c r="K33" i="3"/>
  <c r="M33" i="3" s="1"/>
  <c r="K238" i="3"/>
  <c r="M238" i="3" s="1"/>
  <c r="K91" i="3"/>
  <c r="M91" i="3" s="1"/>
  <c r="K126" i="3"/>
  <c r="M126" i="3" s="1"/>
  <c r="K131" i="3"/>
  <c r="M131" i="3" s="1"/>
  <c r="K70" i="3"/>
  <c r="M70" i="3" s="1"/>
  <c r="K125" i="3"/>
  <c r="M125" i="3" s="1"/>
  <c r="K18" i="3"/>
  <c r="M18" i="3" s="1"/>
  <c r="K72" i="3"/>
  <c r="M102" i="3" s="1"/>
  <c r="K113" i="3"/>
  <c r="M113" i="3" s="1"/>
  <c r="K138" i="3"/>
  <c r="M138" i="3" s="1"/>
  <c r="K194" i="3"/>
  <c r="M194" i="3" s="1"/>
  <c r="K242" i="3"/>
  <c r="M93" i="3" s="1"/>
  <c r="K196" i="3"/>
  <c r="M196" i="3" s="1"/>
  <c r="K56" i="3"/>
  <c r="M56" i="3" s="1"/>
  <c r="K212" i="3"/>
  <c r="M212" i="3" s="1"/>
  <c r="K197" i="3"/>
  <c r="M51" i="3" s="1"/>
  <c r="K203" i="3"/>
  <c r="M203" i="3" s="1"/>
  <c r="K204" i="3"/>
  <c r="M204" i="3" s="1"/>
  <c r="K163" i="3"/>
  <c r="M163" i="3" s="1"/>
  <c r="K180" i="3"/>
  <c r="M40" i="3" s="1"/>
  <c r="K120" i="3"/>
  <c r="M120" i="3" s="1"/>
  <c r="K87" i="3"/>
  <c r="M87" i="3" s="1"/>
  <c r="K189" i="3"/>
  <c r="M189" i="3" s="1"/>
  <c r="K11" i="3"/>
  <c r="M132" i="3" s="1"/>
  <c r="K77" i="3"/>
  <c r="M77" i="3" s="1"/>
  <c r="K188" i="3"/>
  <c r="M188" i="3" s="1"/>
  <c r="K227" i="3"/>
  <c r="M78" i="3" s="1"/>
  <c r="O78" i="3" s="1"/>
  <c r="K192" i="3"/>
  <c r="M47" i="3" s="1"/>
  <c r="K92" i="3"/>
  <c r="M92" i="3" s="1"/>
  <c r="O92" i="3" s="1"/>
  <c r="K190" i="3"/>
  <c r="M190" i="3" s="1"/>
  <c r="K96" i="3"/>
  <c r="M96" i="3" s="1"/>
  <c r="K94" i="3"/>
  <c r="M94" i="3" s="1"/>
  <c r="K14" i="3"/>
  <c r="M14" i="3" s="1"/>
  <c r="O14" i="3" s="1"/>
  <c r="K218" i="3"/>
  <c r="M218" i="3" s="1"/>
  <c r="K38" i="3"/>
  <c r="M38" i="3" s="1"/>
  <c r="K158" i="3"/>
  <c r="M27" i="3" s="1"/>
  <c r="K53" i="3"/>
  <c r="M53" i="3" s="1"/>
  <c r="K162" i="3"/>
  <c r="M162" i="3" s="1"/>
  <c r="K224" i="3"/>
  <c r="M224" i="3" s="1"/>
  <c r="O224" i="3" s="1"/>
  <c r="K148" i="3"/>
  <c r="M148" i="3" s="1"/>
  <c r="K185" i="3"/>
  <c r="M185" i="3" s="1"/>
  <c r="K170" i="3"/>
  <c r="M170" i="3" s="1"/>
  <c r="K230" i="3"/>
  <c r="M230" i="3" s="1"/>
  <c r="K114" i="3"/>
  <c r="M114" i="3" s="1"/>
  <c r="M58" i="3"/>
  <c r="K103" i="3"/>
  <c r="M103" i="3" s="1"/>
  <c r="K82" i="3"/>
  <c r="M82" i="3" s="1"/>
  <c r="K69" i="3"/>
  <c r="M69" i="3" s="1"/>
  <c r="K157" i="3"/>
  <c r="M157" i="3" s="1"/>
  <c r="M50" i="3"/>
  <c r="K186" i="3"/>
  <c r="M45" i="3" s="1"/>
  <c r="K166" i="3"/>
  <c r="M166" i="3" s="1"/>
  <c r="K13" i="3"/>
  <c r="M13" i="3" s="1"/>
  <c r="K73" i="3"/>
  <c r="M73" i="3" s="1"/>
  <c r="N73" i="3" s="1"/>
  <c r="K211" i="3"/>
  <c r="M211" i="3" s="1"/>
  <c r="K110" i="3"/>
  <c r="M110" i="3" s="1"/>
  <c r="K42" i="3"/>
  <c r="M42" i="3" s="1"/>
  <c r="K111" i="3"/>
  <c r="M111" i="3" s="1"/>
  <c r="K121" i="3"/>
  <c r="M9" i="3" s="1"/>
  <c r="K223" i="3"/>
  <c r="M223" i="3" s="1"/>
  <c r="O223" i="3" s="1"/>
  <c r="K208" i="3"/>
  <c r="M208" i="3" s="1"/>
  <c r="K153" i="3"/>
  <c r="M24" i="3" s="1"/>
  <c r="K66" i="3"/>
  <c r="M66" i="3" s="1"/>
  <c r="K65" i="3"/>
  <c r="K31" i="3"/>
  <c r="M31" i="3" s="1"/>
  <c r="K122" i="3"/>
  <c r="M122" i="3" s="1"/>
  <c r="O122" i="3" s="1"/>
  <c r="K146" i="3"/>
  <c r="M21" i="3" s="1"/>
  <c r="K25" i="3"/>
  <c r="M25" i="3" s="1"/>
  <c r="K179" i="3"/>
  <c r="M179" i="3" s="1"/>
  <c r="N179" i="3" s="1"/>
  <c r="N38" i="3"/>
  <c r="M55" i="3"/>
  <c r="M143" i="3"/>
  <c r="M222" i="3"/>
  <c r="M16" i="3"/>
  <c r="M63" i="3"/>
  <c r="M106" i="3"/>
  <c r="M145" i="3"/>
  <c r="M219" i="3"/>
  <c r="M221" i="3"/>
  <c r="M90" i="3"/>
  <c r="M141" i="3"/>
  <c r="M207" i="3"/>
  <c r="M245" i="3"/>
  <c r="M80" i="3"/>
  <c r="M205" i="3"/>
  <c r="M237" i="3"/>
  <c r="M19" i="3"/>
  <c r="M201" i="3"/>
  <c r="M88" i="3"/>
  <c r="M158" i="3"/>
  <c r="M176" i="3"/>
  <c r="M231" i="3"/>
  <c r="M57" i="3"/>
  <c r="M46" i="3"/>
  <c r="M37" i="3"/>
  <c r="M79" i="3"/>
  <c r="M86" i="3"/>
  <c r="M133" i="3"/>
  <c r="M206" i="3"/>
  <c r="M199" i="3"/>
  <c r="M140" i="3"/>
  <c r="M34" i="3"/>
  <c r="M4" i="3"/>
  <c r="M171" i="3"/>
  <c r="M139" i="3"/>
  <c r="M130" i="3"/>
  <c r="M104" i="3"/>
  <c r="M20" i="3"/>
  <c r="M62" i="3"/>
  <c r="M59" i="3"/>
  <c r="N100" i="3" s="1"/>
  <c r="M240" i="3"/>
  <c r="M75" i="3"/>
  <c r="M168" i="3"/>
  <c r="M177" i="3"/>
  <c r="M135" i="3"/>
  <c r="M127" i="3"/>
  <c r="M32" i="3"/>
  <c r="M147" i="3"/>
  <c r="M28" i="3"/>
  <c r="M89" i="3"/>
  <c r="M152" i="3"/>
  <c r="M74" i="3"/>
  <c r="M10" i="3"/>
  <c r="M52" i="3"/>
  <c r="M183" i="3"/>
  <c r="M175" i="3"/>
  <c r="O38" i="3" s="1"/>
  <c r="M210" i="3"/>
  <c r="M44" i="3"/>
  <c r="M187" i="3"/>
  <c r="M195" i="3"/>
  <c r="M241" i="3"/>
  <c r="M226" i="3"/>
  <c r="M12" i="3"/>
  <c r="M191" i="3"/>
  <c r="M173" i="3"/>
  <c r="M215" i="3"/>
  <c r="N67" i="3" s="1"/>
  <c r="M180" i="3"/>
  <c r="M160" i="3"/>
  <c r="M49" i="3"/>
  <c r="M83" i="3"/>
  <c r="M234" i="3"/>
  <c r="M214" i="3"/>
  <c r="M243" i="3"/>
  <c r="M117" i="3"/>
  <c r="M159" i="3"/>
  <c r="M151" i="3"/>
  <c r="M123" i="3"/>
  <c r="M85" i="3"/>
  <c r="M202" i="3"/>
  <c r="M101" i="3"/>
  <c r="M6" i="3"/>
  <c r="M41" i="3"/>
  <c r="M161" i="3"/>
  <c r="M235" i="3"/>
  <c r="M109" i="3"/>
  <c r="M97" i="3"/>
  <c r="M150" i="3"/>
  <c r="M134" i="3"/>
  <c r="M107" i="3"/>
  <c r="M236" i="3"/>
  <c r="M98" i="3"/>
  <c r="M99" i="3"/>
  <c r="M54" i="3"/>
  <c r="M8" i="3"/>
  <c r="O129" i="3" s="1"/>
  <c r="M217" i="3"/>
  <c r="M142" i="3"/>
  <c r="M169" i="3"/>
  <c r="M48" i="3"/>
  <c r="M216" i="3"/>
  <c r="M193" i="3"/>
  <c r="P122" i="3" a="1"/>
  <c r="P76" i="3" a="1"/>
  <c r="P182" i="3" a="1"/>
  <c r="O22" i="3" l="1"/>
  <c r="O225" i="3"/>
  <c r="O198" i="3"/>
  <c r="N66" i="3"/>
  <c r="N68" i="3"/>
  <c r="O164" i="3"/>
  <c r="N58" i="3"/>
  <c r="M227" i="3"/>
  <c r="N78" i="3" s="1"/>
  <c r="M144" i="3"/>
  <c r="O144" i="3" s="1"/>
  <c r="M146" i="3"/>
  <c r="N146" i="3" s="1"/>
  <c r="M186" i="3"/>
  <c r="O186" i="3" s="1"/>
  <c r="M105" i="3"/>
  <c r="N35" i="3"/>
  <c r="N94" i="3"/>
  <c r="M29" i="3"/>
  <c r="N29" i="3" s="1"/>
  <c r="N15" i="3"/>
  <c r="M197" i="3"/>
  <c r="N197" i="3" s="1"/>
  <c r="M11" i="3"/>
  <c r="N11" i="3" s="1"/>
  <c r="M23" i="3"/>
  <c r="N23" i="3" s="1"/>
  <c r="M72" i="3"/>
  <c r="O72" i="3" s="1"/>
  <c r="N224" i="3"/>
  <c r="N14" i="3"/>
  <c r="M192" i="3"/>
  <c r="O192" i="3" s="1"/>
  <c r="O179" i="3"/>
  <c r="M64" i="3"/>
  <c r="O64" i="3" s="1"/>
  <c r="N223" i="3"/>
  <c r="O50" i="3"/>
  <c r="N182" i="3"/>
  <c r="N122" i="3"/>
  <c r="O185" i="3"/>
  <c r="M153" i="3"/>
  <c r="N153" i="3" s="1"/>
  <c r="M121" i="3"/>
  <c r="N121" i="3" s="1"/>
  <c r="N92" i="3"/>
  <c r="O220" i="3"/>
  <c r="N157" i="3"/>
  <c r="M242" i="3"/>
  <c r="N242" i="3" s="1"/>
  <c r="O73" i="3"/>
  <c r="N76" i="3"/>
  <c r="N167" i="3"/>
  <c r="O167" i="3"/>
  <c r="O230" i="3"/>
  <c r="N230" i="3"/>
  <c r="N232" i="3"/>
  <c r="O232" i="3"/>
  <c r="N24" i="3"/>
  <c r="O24" i="3"/>
  <c r="N84" i="3"/>
  <c r="O84" i="3"/>
  <c r="N129" i="3"/>
  <c r="O66" i="3"/>
  <c r="M81" i="3"/>
  <c r="N81" i="3" s="1"/>
  <c r="M136" i="3"/>
  <c r="N136" i="3" s="1"/>
  <c r="N50" i="3"/>
  <c r="N185" i="3"/>
  <c r="N220" i="3"/>
  <c r="O100" i="3"/>
  <c r="O35" i="3"/>
  <c r="O94" i="3"/>
  <c r="O58" i="3"/>
  <c r="M128" i="3"/>
  <c r="O128" i="3" s="1"/>
  <c r="M118" i="3"/>
  <c r="M124" i="3"/>
  <c r="O157" i="3"/>
  <c r="N164" i="3"/>
  <c r="O68" i="3"/>
  <c r="O67" i="3"/>
  <c r="O15" i="3"/>
  <c r="N198" i="3"/>
  <c r="M155" i="3"/>
  <c r="N155" i="3" s="1"/>
  <c r="M244" i="3"/>
  <c r="N244" i="3" s="1"/>
  <c r="M174" i="3"/>
  <c r="N174" i="3" s="1"/>
  <c r="M65" i="3"/>
  <c r="O65" i="3" s="1"/>
  <c r="P76" i="3"/>
  <c r="P182" i="3"/>
  <c r="P122" i="3"/>
  <c r="O193" i="3"/>
  <c r="N193" i="3"/>
  <c r="O208" i="3"/>
  <c r="N208" i="3"/>
  <c r="O96" i="3"/>
  <c r="N96" i="3"/>
  <c r="O120" i="3"/>
  <c r="N120" i="3"/>
  <c r="O42" i="3"/>
  <c r="N42" i="3"/>
  <c r="O236" i="3"/>
  <c r="N236" i="3"/>
  <c r="O150" i="3"/>
  <c r="N150" i="3"/>
  <c r="O181" i="3"/>
  <c r="N181" i="3"/>
  <c r="N101" i="3"/>
  <c r="O101" i="3"/>
  <c r="O117" i="3"/>
  <c r="N117" i="3"/>
  <c r="N160" i="3"/>
  <c r="O160" i="3"/>
  <c r="O71" i="3"/>
  <c r="N71" i="3"/>
  <c r="N226" i="3"/>
  <c r="O226" i="3"/>
  <c r="O175" i="3"/>
  <c r="N175" i="3"/>
  <c r="N89" i="3"/>
  <c r="O89" i="3"/>
  <c r="N135" i="3"/>
  <c r="O135" i="3"/>
  <c r="O20" i="3"/>
  <c r="N20" i="3"/>
  <c r="O34" i="3"/>
  <c r="N34" i="3"/>
  <c r="O46" i="3"/>
  <c r="N46" i="3"/>
  <c r="O176" i="3"/>
  <c r="N176" i="3"/>
  <c r="N233" i="3"/>
  <c r="O233" i="3"/>
  <c r="N51" i="3"/>
  <c r="O51" i="3"/>
  <c r="O149" i="3"/>
  <c r="N149" i="3"/>
  <c r="N221" i="3"/>
  <c r="O221" i="3"/>
  <c r="O166" i="3"/>
  <c r="N166" i="3"/>
  <c r="N112" i="3"/>
  <c r="O112" i="3"/>
  <c r="O48" i="3"/>
  <c r="N48" i="3"/>
  <c r="O116" i="3"/>
  <c r="N116" i="3"/>
  <c r="O163" i="3"/>
  <c r="N163" i="3"/>
  <c r="O56" i="3"/>
  <c r="N56" i="3"/>
  <c r="O126" i="3"/>
  <c r="N126" i="3"/>
  <c r="O97" i="3"/>
  <c r="N97" i="3"/>
  <c r="N137" i="3"/>
  <c r="O137" i="3"/>
  <c r="N202" i="3"/>
  <c r="O202" i="3"/>
  <c r="N243" i="3"/>
  <c r="O243" i="3"/>
  <c r="O114" i="3"/>
  <c r="N114" i="3"/>
  <c r="O43" i="3"/>
  <c r="N43" i="3"/>
  <c r="O27" i="3"/>
  <c r="N27" i="3"/>
  <c r="N183" i="3"/>
  <c r="O183" i="3"/>
  <c r="O28" i="3"/>
  <c r="N28" i="3"/>
  <c r="O177" i="3"/>
  <c r="N177" i="3"/>
  <c r="N154" i="3"/>
  <c r="O154" i="3"/>
  <c r="O140" i="3"/>
  <c r="N140" i="3"/>
  <c r="N25" i="3"/>
  <c r="O25" i="3"/>
  <c r="O148" i="3"/>
  <c r="N148" i="3"/>
  <c r="O196" i="3"/>
  <c r="N196" i="3"/>
  <c r="O19" i="3"/>
  <c r="N19" i="3"/>
  <c r="N205" i="3"/>
  <c r="O205" i="3"/>
  <c r="N219" i="3"/>
  <c r="O219" i="3"/>
  <c r="N222" i="3"/>
  <c r="O222" i="3"/>
  <c r="N204" i="3"/>
  <c r="O204" i="3"/>
  <c r="O85" i="3"/>
  <c r="N85" i="3"/>
  <c r="O45" i="3"/>
  <c r="N45" i="3"/>
  <c r="O57" i="3"/>
  <c r="N57" i="3"/>
  <c r="N188" i="3"/>
  <c r="O188" i="3"/>
  <c r="N235" i="3"/>
  <c r="O235" i="3"/>
  <c r="N180" i="3"/>
  <c r="O180" i="3"/>
  <c r="O147" i="3"/>
  <c r="N147" i="3"/>
  <c r="N75" i="3"/>
  <c r="O75" i="3"/>
  <c r="O206" i="3"/>
  <c r="N206" i="3"/>
  <c r="N211" i="3"/>
  <c r="O211" i="3"/>
  <c r="N158" i="3"/>
  <c r="O158" i="3"/>
  <c r="O194" i="3"/>
  <c r="N194" i="3"/>
  <c r="O33" i="3"/>
  <c r="N33" i="3"/>
  <c r="O169" i="3"/>
  <c r="N169" i="3"/>
  <c r="O238" i="3"/>
  <c r="N238" i="3"/>
  <c r="O228" i="3"/>
  <c r="N228" i="3"/>
  <c r="O199" i="3"/>
  <c r="N199" i="3"/>
  <c r="O145" i="3"/>
  <c r="N145" i="3"/>
  <c r="O203" i="3"/>
  <c r="N203" i="3"/>
  <c r="O109" i="3"/>
  <c r="N109" i="3"/>
  <c r="O214" i="3"/>
  <c r="N214" i="3"/>
  <c r="O52" i="3"/>
  <c r="N52" i="3"/>
  <c r="N104" i="3"/>
  <c r="O104" i="3"/>
  <c r="N143" i="3"/>
  <c r="O143" i="3"/>
  <c r="O146" i="3"/>
  <c r="O170" i="3"/>
  <c r="N170" i="3"/>
  <c r="O77" i="3"/>
  <c r="N77" i="3"/>
  <c r="N99" i="3"/>
  <c r="O99" i="3"/>
  <c r="O60" i="3"/>
  <c r="N60" i="3"/>
  <c r="O229" i="3"/>
  <c r="N229" i="3"/>
  <c r="N161" i="3"/>
  <c r="O161" i="3"/>
  <c r="O151" i="3"/>
  <c r="N151" i="3"/>
  <c r="N102" i="3"/>
  <c r="O102" i="3"/>
  <c r="N234" i="3"/>
  <c r="O234" i="3"/>
  <c r="O21" i="3"/>
  <c r="N21" i="3"/>
  <c r="N173" i="3"/>
  <c r="O173" i="3"/>
  <c r="O187" i="3"/>
  <c r="N187" i="3"/>
  <c r="N61" i="3"/>
  <c r="O61" i="3"/>
  <c r="N132" i="3"/>
  <c r="O132" i="3"/>
  <c r="O240" i="3"/>
  <c r="N240" i="3"/>
  <c r="O130" i="3"/>
  <c r="N130" i="3"/>
  <c r="O133" i="3"/>
  <c r="N133" i="3"/>
  <c r="O218" i="3"/>
  <c r="N218" i="3"/>
  <c r="N113" i="3"/>
  <c r="O113" i="3"/>
  <c r="O2" i="3"/>
  <c r="O245" i="3"/>
  <c r="N245" i="3"/>
  <c r="O63" i="3"/>
  <c r="N63" i="3"/>
  <c r="N55" i="3"/>
  <c r="O55" i="3"/>
  <c r="O216" i="3"/>
  <c r="N216" i="3"/>
  <c r="O13" i="3"/>
  <c r="N13" i="3"/>
  <c r="O165" i="3"/>
  <c r="N165" i="3"/>
  <c r="O168" i="3"/>
  <c r="N168" i="3"/>
  <c r="N36" i="3"/>
  <c r="O36" i="3"/>
  <c r="N239" i="3"/>
  <c r="O239" i="3"/>
  <c r="N200" i="3"/>
  <c r="O200" i="3"/>
  <c r="O54" i="3"/>
  <c r="N54" i="3"/>
  <c r="N123" i="3"/>
  <c r="O123" i="3"/>
  <c r="N212" i="3"/>
  <c r="O212" i="3"/>
  <c r="N80" i="3"/>
  <c r="O80" i="3"/>
  <c r="O142" i="3"/>
  <c r="N142" i="3"/>
  <c r="O209" i="3"/>
  <c r="N209" i="3"/>
  <c r="O98" i="3"/>
  <c r="N98" i="3"/>
  <c r="O9" i="3"/>
  <c r="N9" i="3"/>
  <c r="O105" i="3"/>
  <c r="N105" i="3"/>
  <c r="O39" i="3"/>
  <c r="N39" i="3"/>
  <c r="N131" i="3"/>
  <c r="O131" i="3"/>
  <c r="O83" i="3"/>
  <c r="N83" i="3"/>
  <c r="O215" i="3"/>
  <c r="N215" i="3"/>
  <c r="N138" i="3"/>
  <c r="O138" i="3"/>
  <c r="N44" i="3"/>
  <c r="O44" i="3"/>
  <c r="O10" i="3"/>
  <c r="N10" i="3"/>
  <c r="O32" i="3"/>
  <c r="N32" i="3"/>
  <c r="N59" i="3"/>
  <c r="O59" i="3"/>
  <c r="N139" i="3"/>
  <c r="O139" i="3"/>
  <c r="N86" i="3"/>
  <c r="O86" i="3"/>
  <c r="N40" i="3"/>
  <c r="O40" i="3"/>
  <c r="O88" i="3"/>
  <c r="N88" i="3"/>
  <c r="O7" i="3"/>
  <c r="N7" i="3"/>
  <c r="N207" i="3"/>
  <c r="O207" i="3"/>
  <c r="O16" i="3"/>
  <c r="N16" i="3"/>
  <c r="O184" i="3"/>
  <c r="N184" i="3"/>
  <c r="N241" i="3"/>
  <c r="O241" i="3"/>
  <c r="O3" i="3"/>
  <c r="N3" i="3"/>
  <c r="N237" i="3"/>
  <c r="O237" i="3"/>
  <c r="O82" i="3"/>
  <c r="N82" i="3"/>
  <c r="N107" i="3"/>
  <c r="O107" i="3"/>
  <c r="N159" i="3"/>
  <c r="O159" i="3"/>
  <c r="O195" i="3"/>
  <c r="N195" i="3"/>
  <c r="O106" i="3"/>
  <c r="N106" i="3"/>
  <c r="O162" i="3"/>
  <c r="N162" i="3"/>
  <c r="O189" i="3"/>
  <c r="N189" i="3"/>
  <c r="O31" i="3"/>
  <c r="N31" i="3"/>
  <c r="O69" i="3"/>
  <c r="N69" i="3"/>
  <c r="N115" i="3"/>
  <c r="O115" i="3"/>
  <c r="N41" i="3"/>
  <c r="O41" i="3"/>
  <c r="N91" i="3"/>
  <c r="O91" i="3"/>
  <c r="N190" i="3"/>
  <c r="O190" i="3"/>
  <c r="O53" i="3"/>
  <c r="N53" i="3"/>
  <c r="N108" i="3"/>
  <c r="O108" i="3"/>
  <c r="N191" i="3"/>
  <c r="O191" i="3"/>
  <c r="O95" i="3"/>
  <c r="N95" i="3"/>
  <c r="N74" i="3"/>
  <c r="O74" i="3"/>
  <c r="N93" i="3"/>
  <c r="O93" i="3"/>
  <c r="O172" i="3"/>
  <c r="N172" i="3"/>
  <c r="O171" i="3"/>
  <c r="N171" i="3"/>
  <c r="O79" i="3"/>
  <c r="N79" i="3"/>
  <c r="N103" i="3"/>
  <c r="O103" i="3"/>
  <c r="N125" i="3"/>
  <c r="O125" i="3"/>
  <c r="N5" i="3"/>
  <c r="O5" i="3"/>
  <c r="N141" i="3"/>
  <c r="O141" i="3"/>
  <c r="O47" i="3"/>
  <c r="N47" i="3"/>
  <c r="O111" i="3"/>
  <c r="N111" i="3"/>
  <c r="N178" i="3"/>
  <c r="O178" i="3"/>
  <c r="N119" i="3"/>
  <c r="O119" i="3"/>
  <c r="O217" i="3"/>
  <c r="N217" i="3"/>
  <c r="N87" i="3"/>
  <c r="O87" i="3"/>
  <c r="O8" i="3"/>
  <c r="N8" i="3"/>
  <c r="O18" i="3"/>
  <c r="N18" i="3"/>
  <c r="N134" i="3"/>
  <c r="O134" i="3"/>
  <c r="N213" i="3"/>
  <c r="O213" i="3"/>
  <c r="O6" i="3"/>
  <c r="N6" i="3"/>
  <c r="N156" i="3"/>
  <c r="O156" i="3"/>
  <c r="O17" i="3"/>
  <c r="N17" i="3"/>
  <c r="N49" i="3"/>
  <c r="O49" i="3"/>
  <c r="O12" i="3"/>
  <c r="N12" i="3"/>
  <c r="N210" i="3"/>
  <c r="O210" i="3"/>
  <c r="O152" i="3"/>
  <c r="N152" i="3"/>
  <c r="O127" i="3"/>
  <c r="N127" i="3"/>
  <c r="N62" i="3"/>
  <c r="O62" i="3"/>
  <c r="O4" i="3"/>
  <c r="N4" i="3"/>
  <c r="O37" i="3"/>
  <c r="N37" i="3"/>
  <c r="N231" i="3"/>
  <c r="O231" i="3"/>
  <c r="O201" i="3"/>
  <c r="N201" i="3"/>
  <c r="O70" i="3"/>
  <c r="N70" i="3"/>
  <c r="O30" i="3"/>
  <c r="N30" i="3"/>
  <c r="N90" i="3"/>
  <c r="O90" i="3"/>
  <c r="O110" i="3"/>
  <c r="P2" i="3"/>
  <c r="P105" i="3" a="1"/>
  <c r="P89" i="3" a="1"/>
  <c r="P135" i="3" a="1"/>
  <c r="P68" i="3" a="1"/>
  <c r="P186" i="3" a="1"/>
  <c r="P151" i="3" a="1"/>
  <c r="P93" i="3" a="1"/>
  <c r="P112" i="3" a="1"/>
  <c r="P56" i="3" a="1"/>
  <c r="P59" i="3" a="1"/>
  <c r="P69" i="3" a="1"/>
  <c r="P166" i="3" a="1"/>
  <c r="P226" i="3" a="1"/>
  <c r="P70" i="3" a="1"/>
  <c r="P91" i="3" a="1"/>
  <c r="P183" i="3" a="1"/>
  <c r="P167" i="3" a="1"/>
  <c r="P62" i="3" a="1"/>
  <c r="P99" i="3" a="1"/>
  <c r="P144" i="3" a="1"/>
  <c r="P65" i="3" a="1"/>
  <c r="P162" i="3" a="1"/>
  <c r="P229" i="3" a="1"/>
  <c r="P53" i="3" a="1"/>
  <c r="P200" i="3" a="1"/>
  <c r="P230" i="3" a="1"/>
  <c r="P80" i="3" a="1"/>
  <c r="P138" i="3" a="1"/>
  <c r="P44" i="3" a="1"/>
  <c r="P123" i="3" a="1"/>
  <c r="P177" i="3" a="1"/>
  <c r="P50" i="3" a="1"/>
  <c r="P207" i="3" a="1"/>
  <c r="P27" i="3" a="1"/>
  <c r="P47" i="3" a="1"/>
  <c r="P40" i="3" a="1"/>
  <c r="P120" i="3" a="1"/>
  <c r="P31" i="3" a="1"/>
  <c r="P42" i="3" a="1"/>
  <c r="P189" i="3" a="1"/>
  <c r="P175" i="3" a="1"/>
  <c r="P84" i="3" a="1"/>
  <c r="P41" i="3" a="1"/>
  <c r="P87" i="3" a="1"/>
  <c r="P73" i="3" a="1"/>
  <c r="P113" i="3" a="1"/>
  <c r="P109" i="3" a="1"/>
  <c r="P86" i="3" a="1"/>
  <c r="P37" i="3" a="1"/>
  <c r="P213" i="3" a="1"/>
  <c r="P72" i="3" a="1"/>
  <c r="P36" i="3" a="1"/>
  <c r="P202" i="3" a="1"/>
  <c r="P60" i="3" a="1"/>
  <c r="P208" i="3" a="1"/>
  <c r="P238" i="3" a="1"/>
  <c r="P212" i="3" a="1"/>
  <c r="P45" i="3" a="1"/>
  <c r="P220" i="3" a="1"/>
  <c r="P88" i="3" a="1"/>
  <c r="P198" i="3" a="1"/>
  <c r="P203" i="3" a="1"/>
  <c r="P78" i="3" a="1"/>
  <c r="P92" i="3" a="1"/>
  <c r="P111" i="3" a="1"/>
  <c r="P170" i="3" a="1"/>
  <c r="P152" i="3" a="1"/>
  <c r="P22" i="3" a="1"/>
  <c r="P126" i="3" a="1"/>
  <c r="P98" i="3" a="1"/>
  <c r="P5" i="3" a="1"/>
  <c r="P148" i="3" a="1"/>
  <c r="P17" i="3" a="1"/>
  <c r="P149" i="3" a="1"/>
  <c r="P108" i="3" a="1"/>
  <c r="P10" i="3" a="1"/>
  <c r="P52" i="3" a="1"/>
  <c r="P221" i="3" a="1"/>
  <c r="P46" i="3" a="1"/>
  <c r="P176" i="3" a="1"/>
  <c r="P125" i="3" a="1"/>
  <c r="P13" i="3" a="1"/>
  <c r="P215" i="3" a="1"/>
  <c r="P49" i="3" a="1"/>
  <c r="P51" i="3" a="1"/>
  <c r="P39" i="3" a="1"/>
  <c r="P171" i="3" a="1"/>
  <c r="P131" i="3" a="1"/>
  <c r="P142" i="3" a="1"/>
  <c r="P199" i="3" a="1"/>
  <c r="P201" i="3" a="1"/>
  <c r="P143" i="3" a="1"/>
  <c r="P141" i="3" a="1"/>
  <c r="P219" i="3" a="1"/>
  <c r="P130" i="3" a="1"/>
  <c r="P218" i="3" a="1"/>
  <c r="P48" i="3" a="1"/>
  <c r="P7" i="3" a="1"/>
  <c r="P58" i="3" a="1"/>
  <c r="P157" i="3" a="1"/>
  <c r="P16" i="3" a="1"/>
  <c r="P160" i="3" a="1"/>
  <c r="P132" i="3" a="1"/>
  <c r="P90" i="3" a="1"/>
  <c r="P145" i="3" a="1"/>
  <c r="P209" i="3" a="1"/>
  <c r="P185" i="3" a="1"/>
  <c r="P71" i="3" a="1"/>
  <c r="P104" i="3" a="1"/>
  <c r="P216" i="3" a="1"/>
  <c r="P178" i="3" a="1"/>
  <c r="P34" i="3" a="1"/>
  <c r="P85" i="3" a="1"/>
  <c r="P106" i="3" a="1"/>
  <c r="P97" i="3" a="1"/>
  <c r="P21" i="3" a="1"/>
  <c r="P222" i="3" a="1"/>
  <c r="P139" i="3" a="1"/>
  <c r="P223" i="3" a="1"/>
  <c r="P30" i="3" a="1"/>
  <c r="P94" i="3" a="1"/>
  <c r="P187" i="3" a="1"/>
  <c r="P33" i="3" a="1"/>
  <c r="P67" i="3" a="1"/>
  <c r="P9" i="3" a="1"/>
  <c r="P95" i="3" a="1"/>
  <c r="P245" i="3" a="1"/>
  <c r="P19" i="3" a="1"/>
  <c r="P102" i="3" a="1"/>
  <c r="P188" i="3" a="1"/>
  <c r="P134" i="3" a="1"/>
  <c r="P168" i="3" a="1"/>
  <c r="P114" i="3" a="1"/>
  <c r="P101" i="3" a="1"/>
  <c r="P196" i="3" a="1"/>
  <c r="P164" i="3" a="1"/>
  <c r="P161" i="3" a="1"/>
  <c r="P74" i="3" a="1"/>
  <c r="P180" i="3" a="1"/>
  <c r="P129" i="3" a="1"/>
  <c r="P233" i="3" a="1"/>
  <c r="P4" i="3" a="1"/>
  <c r="P32" i="3" a="1"/>
  <c r="P194" i="3" a="1"/>
  <c r="P82" i="3" a="1"/>
  <c r="P3" i="3" a="1"/>
  <c r="P117" i="3" a="1"/>
  <c r="P79" i="3" a="1"/>
  <c r="P210" i="3" a="1"/>
  <c r="P239" i="3" a="1"/>
  <c r="P228" i="3" a="1"/>
  <c r="P172" i="3" a="1"/>
  <c r="P165" i="3" a="1"/>
  <c r="P184" i="3" a="1"/>
  <c r="P127" i="3" a="1"/>
  <c r="P232" i="3" a="1"/>
  <c r="P179" i="3" a="1"/>
  <c r="P163" i="3" a="1"/>
  <c r="P205" i="3" a="1"/>
  <c r="P225" i="3" a="1"/>
  <c r="P115" i="3" a="1"/>
  <c r="P150" i="3" a="1"/>
  <c r="P240" i="3" a="1"/>
  <c r="P231" i="3" a="1"/>
  <c r="P217" i="3" a="1"/>
  <c r="P159" i="3" a="1"/>
  <c r="P140" i="3" a="1"/>
  <c r="P154" i="3" a="1"/>
  <c r="P119" i="3" a="1"/>
  <c r="P12" i="3" a="1"/>
  <c r="P116" i="3" a="1"/>
  <c r="P6" i="3" a="1"/>
  <c r="P18" i="3" a="1"/>
  <c r="P236" i="3" a="1"/>
  <c r="P77" i="3" a="1"/>
  <c r="P206" i="3" a="1"/>
  <c r="P61" i="3" a="1"/>
  <c r="P20" i="3" a="1"/>
  <c r="P243" i="3" a="1"/>
  <c r="P158" i="3" a="1"/>
  <c r="P63" i="3" a="1"/>
  <c r="P169" i="3" a="1"/>
  <c r="P28" i="3" a="1"/>
  <c r="P54" i="3" a="1"/>
  <c r="P83" i="3" a="1"/>
  <c r="P204" i="3" a="1"/>
  <c r="P96" i="3" a="1"/>
  <c r="P191" i="3" a="1"/>
  <c r="P43" i="3" a="1"/>
  <c r="P64" i="3" a="1"/>
  <c r="P173" i="3" a="1"/>
  <c r="P8" i="3" a="1"/>
  <c r="P128" i="3" a="1"/>
  <c r="P181" i="3" a="1"/>
  <c r="P214" i="3" a="1"/>
  <c r="P100" i="3" a="1"/>
  <c r="P234" i="3" a="1"/>
  <c r="P133" i="3" a="1"/>
  <c r="P224" i="3" a="1"/>
  <c r="P137" i="3" a="1"/>
  <c r="P241" i="3" a="1"/>
  <c r="P15" i="3" a="1"/>
  <c r="P235" i="3" a="1"/>
  <c r="P38" i="3" a="1"/>
  <c r="P190" i="3" a="1"/>
  <c r="P193" i="3" a="1"/>
  <c r="P25" i="3" a="1"/>
  <c r="P195" i="3" a="1"/>
  <c r="P14" i="3" a="1"/>
  <c r="P110" i="3" a="1"/>
  <c r="P66" i="3" a="1"/>
  <c r="P75" i="3" a="1"/>
  <c r="P55" i="3" a="1"/>
  <c r="P156" i="3" a="1"/>
  <c r="P107" i="3" a="1"/>
  <c r="P35" i="3" a="1"/>
  <c r="P57" i="3" a="1"/>
  <c r="P192" i="3" a="1"/>
  <c r="P24" i="3" a="1"/>
  <c r="P211" i="3" a="1"/>
  <c r="P147" i="3" a="1"/>
  <c r="P237" i="3" a="1"/>
  <c r="P103" i="3" a="1"/>
  <c r="N72" i="3" l="1"/>
  <c r="N144" i="3"/>
  <c r="O29" i="3"/>
  <c r="O11" i="3"/>
  <c r="O197" i="3"/>
  <c r="N227" i="3"/>
  <c r="O227" i="3"/>
  <c r="N186" i="3"/>
  <c r="N192" i="3"/>
  <c r="O23" i="3"/>
  <c r="O153" i="3"/>
  <c r="O81" i="3"/>
  <c r="O174" i="3"/>
  <c r="N64" i="3"/>
  <c r="O155" i="3"/>
  <c r="O136" i="3"/>
  <c r="P179" i="3"/>
  <c r="O242" i="3"/>
  <c r="O244" i="3"/>
  <c r="N118" i="3"/>
  <c r="O118" i="3"/>
  <c r="O121" i="3"/>
  <c r="N110" i="3"/>
  <c r="N124" i="3"/>
  <c r="N65" i="3"/>
  <c r="N128" i="3"/>
  <c r="O124" i="3"/>
  <c r="P35" i="3"/>
  <c r="P78" i="3"/>
  <c r="P68" i="3"/>
  <c r="P50" i="3"/>
  <c r="P164" i="3"/>
  <c r="P198" i="3"/>
  <c r="P92" i="3"/>
  <c r="P100" i="3"/>
  <c r="P66" i="3"/>
  <c r="P232" i="3"/>
  <c r="P65" i="3"/>
  <c r="P58" i="3"/>
  <c r="P94" i="3"/>
  <c r="P73" i="3"/>
  <c r="P167" i="3"/>
  <c r="P15" i="3"/>
  <c r="P225" i="3"/>
  <c r="P67" i="3"/>
  <c r="P129" i="3"/>
  <c r="P185" i="3"/>
  <c r="P128" i="3"/>
  <c r="P24" i="3"/>
  <c r="P220" i="3"/>
  <c r="P22" i="3"/>
  <c r="P38" i="3"/>
  <c r="P157" i="3"/>
  <c r="P14" i="3"/>
  <c r="P230" i="3"/>
  <c r="P224" i="3"/>
  <c r="P84" i="3"/>
  <c r="P223" i="3"/>
  <c r="O26" i="3"/>
  <c r="N26" i="3"/>
  <c r="P90" i="3"/>
  <c r="P231" i="3"/>
  <c r="P210" i="3"/>
  <c r="P134" i="3"/>
  <c r="P178" i="3"/>
  <c r="P5" i="3"/>
  <c r="P74" i="3"/>
  <c r="P191" i="3"/>
  <c r="P91" i="3"/>
  <c r="P115" i="3"/>
  <c r="P107" i="3"/>
  <c r="P237" i="3"/>
  <c r="P241" i="3"/>
  <c r="P86" i="3"/>
  <c r="P59" i="3"/>
  <c r="P138" i="3"/>
  <c r="P131" i="3"/>
  <c r="P212" i="3"/>
  <c r="P239" i="3"/>
  <c r="P192" i="3"/>
  <c r="P55" i="3"/>
  <c r="P113" i="3"/>
  <c r="P132" i="3"/>
  <c r="P102" i="3"/>
  <c r="P161" i="3"/>
  <c r="P143" i="3"/>
  <c r="P211" i="3"/>
  <c r="P75" i="3"/>
  <c r="P180" i="3"/>
  <c r="P188" i="3"/>
  <c r="P204" i="3"/>
  <c r="P219" i="3"/>
  <c r="P183" i="3"/>
  <c r="P243" i="3"/>
  <c r="P202" i="3"/>
  <c r="P112" i="3"/>
  <c r="P221" i="3"/>
  <c r="P51" i="3"/>
  <c r="P135" i="3"/>
  <c r="P101" i="3"/>
  <c r="P70" i="3"/>
  <c r="P4" i="3"/>
  <c r="P127" i="3"/>
  <c r="P17" i="3"/>
  <c r="P6" i="3"/>
  <c r="P8" i="3"/>
  <c r="P217" i="3"/>
  <c r="P47" i="3"/>
  <c r="P79" i="3"/>
  <c r="P172" i="3"/>
  <c r="P53" i="3"/>
  <c r="P69" i="3"/>
  <c r="P189" i="3"/>
  <c r="P195" i="3"/>
  <c r="P184" i="3"/>
  <c r="P16" i="3"/>
  <c r="P7" i="3"/>
  <c r="P88" i="3"/>
  <c r="P10" i="3"/>
  <c r="P83" i="3"/>
  <c r="P105" i="3"/>
  <c r="P98" i="3"/>
  <c r="P54" i="3"/>
  <c r="P13" i="3"/>
  <c r="P245" i="3"/>
  <c r="P186" i="3"/>
  <c r="P130" i="3"/>
  <c r="P187" i="3"/>
  <c r="P21" i="3"/>
  <c r="P60" i="3"/>
  <c r="P170" i="3"/>
  <c r="P52" i="3"/>
  <c r="P109" i="3"/>
  <c r="P145" i="3"/>
  <c r="P199" i="3"/>
  <c r="P228" i="3"/>
  <c r="P169" i="3"/>
  <c r="P194" i="3"/>
  <c r="P45" i="3"/>
  <c r="P19" i="3"/>
  <c r="P148" i="3"/>
  <c r="P140" i="3"/>
  <c r="P177" i="3"/>
  <c r="P43" i="3"/>
  <c r="P97" i="3"/>
  <c r="P56" i="3"/>
  <c r="P116" i="3"/>
  <c r="P176" i="3"/>
  <c r="P34" i="3"/>
  <c r="P175" i="3"/>
  <c r="P71" i="3"/>
  <c r="P117" i="3"/>
  <c r="P150" i="3"/>
  <c r="P42" i="3"/>
  <c r="P96" i="3"/>
  <c r="P193" i="3"/>
  <c r="P62" i="3"/>
  <c r="P49" i="3"/>
  <c r="P156" i="3"/>
  <c r="P213" i="3"/>
  <c r="P87" i="3"/>
  <c r="P119" i="3"/>
  <c r="P141" i="3"/>
  <c r="P125" i="3"/>
  <c r="P103" i="3"/>
  <c r="P93" i="3"/>
  <c r="P108" i="3"/>
  <c r="P190" i="3"/>
  <c r="P41" i="3"/>
  <c r="P159" i="3"/>
  <c r="P207" i="3"/>
  <c r="P40" i="3"/>
  <c r="P139" i="3"/>
  <c r="P44" i="3"/>
  <c r="P80" i="3"/>
  <c r="P200" i="3"/>
  <c r="P36" i="3"/>
  <c r="P61" i="3"/>
  <c r="P173" i="3"/>
  <c r="P234" i="3"/>
  <c r="P99" i="3"/>
  <c r="P104" i="3"/>
  <c r="P158" i="3"/>
  <c r="P235" i="3"/>
  <c r="P222" i="3"/>
  <c r="P205" i="3"/>
  <c r="P25" i="3"/>
  <c r="P154" i="3"/>
  <c r="P137" i="3"/>
  <c r="P233" i="3"/>
  <c r="P89" i="3"/>
  <c r="P226" i="3"/>
  <c r="P160" i="3"/>
  <c r="P110" i="3"/>
  <c r="P30" i="3"/>
  <c r="P201" i="3"/>
  <c r="P37" i="3"/>
  <c r="P152" i="3"/>
  <c r="P12" i="3"/>
  <c r="P18" i="3"/>
  <c r="P111" i="3"/>
  <c r="P171" i="3"/>
  <c r="P95" i="3"/>
  <c r="P144" i="3"/>
  <c r="P31" i="3"/>
  <c r="P162" i="3"/>
  <c r="P106" i="3"/>
  <c r="P82" i="3"/>
  <c r="P3" i="3"/>
  <c r="P72" i="3"/>
  <c r="P32" i="3"/>
  <c r="P215" i="3"/>
  <c r="P64" i="3"/>
  <c r="P39" i="3"/>
  <c r="P9" i="3"/>
  <c r="P209" i="3"/>
  <c r="P142" i="3"/>
  <c r="P168" i="3"/>
  <c r="P165" i="3"/>
  <c r="P216" i="3"/>
  <c r="P63" i="3"/>
  <c r="P218" i="3"/>
  <c r="P133" i="3"/>
  <c r="P240" i="3"/>
  <c r="P151" i="3"/>
  <c r="P229" i="3"/>
  <c r="P77" i="3"/>
  <c r="P214" i="3"/>
  <c r="P203" i="3"/>
  <c r="P238" i="3"/>
  <c r="P33" i="3"/>
  <c r="P206" i="3"/>
  <c r="P147" i="3"/>
  <c r="P57" i="3"/>
  <c r="P85" i="3"/>
  <c r="P196" i="3"/>
  <c r="P28" i="3"/>
  <c r="P27" i="3"/>
  <c r="P114" i="3"/>
  <c r="P126" i="3"/>
  <c r="P163" i="3"/>
  <c r="P48" i="3"/>
  <c r="P166" i="3"/>
  <c r="P149" i="3"/>
  <c r="P46" i="3"/>
  <c r="P20" i="3"/>
  <c r="P181" i="3"/>
  <c r="P236" i="3"/>
  <c r="P120" i="3"/>
  <c r="P208" i="3"/>
  <c r="P123" i="3"/>
  <c r="P29" i="3" a="1"/>
  <c r="P11" i="3" a="1"/>
  <c r="P197" i="3" a="1"/>
  <c r="P227" i="3" a="1"/>
  <c r="P153" i="3" a="1"/>
  <c r="P118" i="3" a="1"/>
  <c r="P244" i="3" a="1"/>
  <c r="P23" i="3" a="1"/>
  <c r="P136" i="3" a="1"/>
  <c r="P26" i="3" a="1"/>
  <c r="P81" i="3" a="1"/>
  <c r="P174" i="3" a="1"/>
  <c r="P124" i="3" a="1"/>
  <c r="P121" i="3" a="1"/>
  <c r="P242" i="3" a="1"/>
  <c r="P146" i="3" a="1"/>
  <c r="P155" i="3" a="1"/>
  <c r="P29" i="3" l="1"/>
  <c r="P227" i="3"/>
  <c r="P197" i="3"/>
  <c r="P11" i="3"/>
  <c r="P23" i="3"/>
  <c r="P153" i="3"/>
  <c r="P174" i="3"/>
  <c r="P81" i="3"/>
  <c r="P136" i="3"/>
  <c r="P155" i="3"/>
  <c r="P242" i="3"/>
  <c r="P244" i="3"/>
  <c r="P124" i="3"/>
  <c r="P121" i="3"/>
  <c r="P26" i="3"/>
  <c r="P118" i="3"/>
  <c r="P146" i="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<sst xmlns="http://schemas.openxmlformats.org/spreadsheetml/2006/main" count="1062" uniqueCount="73">
  <si>
    <t>Targoviste</t>
  </si>
  <si>
    <t>Dambovita</t>
  </si>
  <si>
    <t>Capsuni</t>
  </si>
  <si>
    <t>Biscuiti cu vanilie</t>
  </si>
  <si>
    <t>Dulciuri</t>
  </si>
  <si>
    <t>Bucuresti</t>
  </si>
  <si>
    <t>Ilfov</t>
  </si>
  <si>
    <t>Popcorn</t>
  </si>
  <si>
    <t>Cirese</t>
  </si>
  <si>
    <t>Vin alb</t>
  </si>
  <si>
    <t>Struguri</t>
  </si>
  <si>
    <t>Inghetata cu vanilie</t>
  </si>
  <si>
    <t>Ceapa</t>
  </si>
  <si>
    <t>Coniac</t>
  </si>
  <si>
    <t>Varza</t>
  </si>
  <si>
    <t>Pere</t>
  </si>
  <si>
    <t>Votca</t>
  </si>
  <si>
    <t>Saratele</t>
  </si>
  <si>
    <t>Castravete</t>
  </si>
  <si>
    <t>Biscuiti cu ciocolata</t>
  </si>
  <si>
    <t>Tigari Dunhill</t>
  </si>
  <si>
    <t>Mere</t>
  </si>
  <si>
    <t xml:space="preserve">Napolitane </t>
  </si>
  <si>
    <t>Banane</t>
  </si>
  <si>
    <t>Biscuiti integrali</t>
  </si>
  <si>
    <t>Rosii</t>
  </si>
  <si>
    <t>Tigari Marlboro</t>
  </si>
  <si>
    <t>Salata</t>
  </si>
  <si>
    <t>Morcov</t>
  </si>
  <si>
    <t>Profit</t>
  </si>
  <si>
    <t>Pret unitar de producere</t>
  </si>
  <si>
    <t>Pret Total Vanzare</t>
  </si>
  <si>
    <t>Produs</t>
  </si>
  <si>
    <t>Categorie</t>
  </si>
  <si>
    <t>Oras</t>
  </si>
  <si>
    <t>Judet</t>
  </si>
  <si>
    <t>Data Comandarii</t>
  </si>
  <si>
    <t>Pret Unitar de vanzare fara taxe</t>
  </si>
  <si>
    <t>Pret Unitar de vanzare cu taxe</t>
  </si>
  <si>
    <t>Valoare taxe</t>
  </si>
  <si>
    <t>Cantitate Vanduta</t>
  </si>
  <si>
    <t>Pret total productie</t>
  </si>
  <si>
    <t>Valoare profit</t>
  </si>
  <si>
    <t>Tip taxa</t>
  </si>
  <si>
    <t>Profit Impozitat</t>
  </si>
  <si>
    <t>Column Labels</t>
  </si>
  <si>
    <t>Grand Total</t>
  </si>
  <si>
    <t>Row Labels</t>
  </si>
  <si>
    <t>Sum of Cantitate Vanduta</t>
  </si>
  <si>
    <t>(All)</t>
  </si>
  <si>
    <t>Sum of Valoare taxe</t>
  </si>
  <si>
    <t>Băuturi alcoolice şi ţigări</t>
  </si>
  <si>
    <t>Fructe şi legume</t>
  </si>
  <si>
    <t>Snacksuri</t>
  </si>
  <si>
    <t>Tigari Kent 8</t>
  </si>
  <si>
    <t>Vin rose</t>
  </si>
  <si>
    <t>Ciocolata Milka</t>
  </si>
  <si>
    <t>Covrigei</t>
  </si>
  <si>
    <t>Chipsuri</t>
  </si>
  <si>
    <t>Voluntari</t>
  </si>
  <si>
    <t>Constanta</t>
  </si>
  <si>
    <t xml:space="preserve"> 1.1 Functii matriceale</t>
  </si>
  <si>
    <t>Sa se determine pretul unitar de vanzare al produsului a carei cantitati vandute este egala cu 250.</t>
  </si>
  <si>
    <t xml:space="preserve">Pretul unitar este = </t>
  </si>
  <si>
    <t>1.3 Functii statistice</t>
  </si>
  <si>
    <t>Sa se calculeze cantitatea medie de produse vandute.</t>
  </si>
  <si>
    <t>Cantitatea medie este =</t>
  </si>
  <si>
    <t>Sa se afiseze suma cantitatilor tuturor produselor vandute.</t>
  </si>
  <si>
    <t xml:space="preserve">Suma cantitatilor este = </t>
  </si>
  <si>
    <t>FUNCTII :</t>
  </si>
  <si>
    <t>Băuturi alcoolice și țigări</t>
  </si>
  <si>
    <t>Snaksuri</t>
  </si>
  <si>
    <t>Fructe si legume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</si>
</sst>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25">
    <xf numFmtId="0" fontId="0" fillId="0" borderId="0" xfId="0"/>
    <xf numFmtId="2" fontId="0" fillId="0" borderId="0" xfId="0" applyNumberFormat="1"/>
    <xf numFmtId="1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ont="1"/>
    <xf numFmtId="14" fontId="1" fillId="0" borderId="1" xfId="0" applyNumberFormat="1" applyFont="1" applyBorder="1"/>
    <xf numFmtId="0" fontId="1" fillId="0" borderId="1" xfId="0" applyFont="1" applyBorder="1"/>
    <xf numFmtId="2" fontId="1" fillId="0" borderId="1" xfId="0" applyNumberFormat="1" applyFont="1" applyBorder="1"/>
    <xf numFmtId="14" fontId="0" fillId="0" borderId="1" xfId="0" applyNumberFormat="1" applyFont="1" applyBorder="1"/>
    <xf numFmtId="0" fontId="0" fillId="0" borderId="1" xfId="0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 applyFont="1"/>
    <xf numFmtId="10" fontId="0" fillId="0" borderId="0" xfId="0" applyNumberFormat="1" applyFont="1"/>
    <xf numFmtId="14" fontId="0" fillId="0" borderId="2" xfId="0" applyNumberFormat="1" applyFont="1" applyBorder="1"/>
    <xf numFmtId="0" fontId="0" fillId="0" borderId="2" xfId="0" applyFont="1" applyBorder="1"/>
    <xf numFmtId="2" fontId="0" fillId="0" borderId="2" xfId="0" applyNumberFormat="1" applyFont="1" applyBorder="1"/>
    <xf numFmtId="14" fontId="1" fillId="0" borderId="0" xfId="0" applyNumberFormat="1" applyFont="1"/>
    <xf numFmtId="0" fontId="3" fillId="0" borderId="0" xfId="0" applyFont="1"/>
    <xf numFmtId="0" fontId="2" fillId="0" borderId="0" xfId="0" applyFont="1"/>
    <xf numFmtId="0" fontId="0" fillId="2" borderId="0" xfId="0" applyFill="1"/>
    <xf numFmtId="2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[excel_psw.xlsm]Grafic1!PivotTable4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Grafic1!$B$1:$B$2</c:f>
              <c:strCache>
                <c:ptCount val="1"/>
                <c:pt idx="0">
                  <c:v>Băuturi alcoolice și țigări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Grafic1!$A$3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Grafic1!$B$3</c:f>
              <c:numCache>
                <c:formatCode>General</c:formatCode>
                <c:ptCount val="1"/>
                <c:pt idx="0">
                  <c:v>153.55500000000004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5F-304D-8856-EA8E3EA46D26}"/>
            </c:ext>
          </c:extLst>
        </c:ser>
        <c:ser>
          <c:idx val="1"/>
          <c:order val="1"/>
          <c:tx>
            <c:strRef>
              <c:f>Grafic1!$C$1:$C$2</c:f>
              <c:strCache>
                <c:ptCount val="1"/>
                <c:pt idx="0">
                  <c:v>Dulciuri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Grafic1!$A$3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Grafic1!$C$3</c:f>
              <c:numCache>
                <c:formatCode>General</c:formatCode>
                <c:ptCount val="1"/>
                <c:pt idx="0">
                  <c:v>11.523600000000002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5F-304D-8856-EA8E3EA46D26}"/>
            </c:ext>
          </c:extLst>
        </c:ser>
        <c:ser>
          <c:idx val="2"/>
          <c:order val="2"/>
          <c:tx>
            <c:strRef>
              <c:f>Grafic1!$D$1:$D$2</c:f>
              <c:strCache>
                <c:ptCount val="1"/>
                <c:pt idx="0">
                  <c:v>Fructe si legume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Grafic1!$A$3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Grafic1!$D$3</c:f>
              <c:numCache>
                <c:formatCode>General</c:formatCode>
                <c:ptCount val="1"/>
                <c:pt idx="0">
                  <c:v>23.154120000000006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5F-304D-8856-EA8E3EA46D26}"/>
            </c:ext>
          </c:extLst>
        </c:ser>
        <c:ser>
          <c:idx val="3"/>
          <c:order val="3"/>
          <c:tx>
            <c:strRef>
              <c:f>Grafic1!$E$1:$E$2</c:f>
              <c:strCache>
                <c:ptCount val="1"/>
                <c:pt idx="0">
                  <c:v>Snaksuri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Grafic1!$A$3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Grafic1!$E$3</c:f>
              <c:numCache>
                <c:formatCode>General</c:formatCode>
                <c:ptCount val="1"/>
                <c:pt idx="0">
                  <c:v>5.2992000000000026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5F-304D-8856-EA8E3EA46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3807903"/>
        <c:axId val="1187875599"/>
      </c:barChart>
      <c:catAx>
        <c:axId val="118380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O"/>
          </a:p>
        </c:txPr>
        <c:crossAx val="1187875599"/>
        <c:crosses val="autoZero"/>
        <c:auto val="1"/>
        <c:lblAlgn val="ctr"/>
        <c:lblOffset val="100"/>
        <c:noMultiLvlLbl val="0"/>
      </c:catAx>
      <c:valAx>
        <c:axId val="1187875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O"/>
          </a:p>
        </c:txPr>
        <c:crossAx val="1183807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R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R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[excel_psw.xlsm]Grafic2!PivotTable5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R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Grafic2!$B$1:$B$2</c:f>
              <c:strCache>
                <c:ptCount val="1"/>
                <c:pt idx="0">
                  <c:v>Dambovita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Grafic2!$A$3:$A$7</c:f>
              <c:strCache>
                <c:ptCount val="4"/>
                <c:pt idx="0">
                  <c:v>Băuturi alcoolice și țigări</c:v>
                </c:pt>
                <c:pt idx="1">
                  <c:v>Dulciuri</c:v>
                </c:pt>
                <c:pt idx="2">
                  <c:v>Fructe si legume</c:v>
                </c:pt>
                <c:pt idx="3">
                  <c:v>Snaksuri</c:v>
                </c:pt>
              </c:strCache>
            </c:strRef>
          </c:cat>
          <c:val>
            <c:numRef>
              <c:f>Grafic2!$B$3:$B$7</c:f>
              <c:numCache>
                <c:formatCode>General</c:formatCode>
                <c:ptCount val="4"/>
                <c:pt idx="0">
                  <c:v>1975</c:v>
                </c:pt>
                <c:pt idx="1">
                  <c:v>680</c:v>
                </c:pt>
                <c:pt idx="2">
                  <c:v>5712</c:v>
                </c:pt>
                <c:pt idx="3">
                  <c:v>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6-194B-8615-F7267211919B}"/>
            </c:ext>
          </c:extLst>
        </c:ser>
        <c:ser>
          <c:idx val="1"/>
          <c:order val="1"/>
          <c:tx>
            <c:strRef>
              <c:f>Grafic2!$C$1:$C$2</c:f>
              <c:strCache>
                <c:ptCount val="1"/>
                <c:pt idx="0">
                  <c:v>Bucuresti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Grafic2!$A$3:$A$7</c:f>
              <c:strCache>
                <c:ptCount val="4"/>
                <c:pt idx="0">
                  <c:v>Băuturi alcoolice și țigări</c:v>
                </c:pt>
                <c:pt idx="1">
                  <c:v>Dulciuri</c:v>
                </c:pt>
                <c:pt idx="2">
                  <c:v>Fructe si legume</c:v>
                </c:pt>
                <c:pt idx="3">
                  <c:v>Snaksuri</c:v>
                </c:pt>
              </c:strCache>
            </c:strRef>
          </c:cat>
          <c:val>
            <c:numRef>
              <c:f>Grafic2!$C$3:$C$7</c:f>
              <c:numCache>
                <c:formatCode>General</c:formatCode>
                <c:ptCount val="4"/>
                <c:pt idx="0">
                  <c:v>1856</c:v>
                </c:pt>
                <c:pt idx="1">
                  <c:v>925</c:v>
                </c:pt>
                <c:pt idx="2">
                  <c:v>6222</c:v>
                </c:pt>
                <c:pt idx="3">
                  <c:v>2875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96-194B-8615-F7267211919B}"/>
            </c:ext>
          </c:extLst>
        </c:ser>
        <c:ser>
          <c:idx val="2"/>
          <c:order val="2"/>
          <c:tx>
            <c:strRef>
              <c:f>Grafic2!$D$1:$D$2</c:f>
              <c:strCache>
                <c:ptCount val="1"/>
                <c:pt idx="0">
                  <c:v>Ilfov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Grafic2!$A$3:$A$7</c:f>
              <c:strCache>
                <c:ptCount val="4"/>
                <c:pt idx="0">
                  <c:v>Băuturi alcoolice și țigări</c:v>
                </c:pt>
                <c:pt idx="1">
                  <c:v>Dulciuri</c:v>
                </c:pt>
                <c:pt idx="2">
                  <c:v>Fructe si legume</c:v>
                </c:pt>
                <c:pt idx="3">
                  <c:v>Snaksuri</c:v>
                </c:pt>
              </c:strCache>
            </c:strRef>
          </c:cat>
          <c:val>
            <c:numRef>
              <c:f>Grafic2!$D$3:$D$7</c:f>
              <c:numCache>
                <c:formatCode>General</c:formatCode>
                <c:ptCount val="4"/>
                <c:pt idx="0">
                  <c:v>2706</c:v>
                </c:pt>
                <c:pt idx="1">
                  <c:v>4340</c:v>
                </c:pt>
                <c:pt idx="2">
                  <c:v>8554</c:v>
                </c:pt>
                <c:pt idx="3">
                  <c:v>2710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96-194B-8615-F7267211919B}"/>
            </c:ext>
          </c:extLst>
        </c:ser>
        <c:ser>
          <c:idx val="3"/>
          <c:order val="3"/>
          <c:tx>
            <c:strRef>
              <c:f>Grafic2!$E$1:$E$2</c:f>
              <c:strCache>
                <c:ptCount val="1"/>
                <c:pt idx="0">
                  <c:v>Constanta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Grafic2!$A$3:$A$7</c:f>
              <c:strCache>
                <c:ptCount val="4"/>
                <c:pt idx="0">
                  <c:v>Băuturi alcoolice și țigări</c:v>
                </c:pt>
                <c:pt idx="1">
                  <c:v>Dulciuri</c:v>
                </c:pt>
                <c:pt idx="2">
                  <c:v>Fructe si legume</c:v>
                </c:pt>
                <c:pt idx="3">
                  <c:v>Snaksuri</c:v>
                </c:pt>
              </c:strCache>
            </c:strRef>
          </c:cat>
          <c:val>
            <c:numRef>
              <c:f>Grafic2!$E$3:$E$7</c:f>
              <c:numCache>
                <c:formatCode>General</c:formatCode>
                <c:ptCount val="4"/>
                <c:pt idx="0">
                  <c:v>1149</c:v>
                </c:pt>
                <c:pt idx="1">
                  <c:v>615</c:v>
                </c:pt>
                <c:pt idx="2">
                  <c:v>3162</c:v>
                </c:pt>
                <c:pt idx="3">
                  <c:v>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96-194B-8615-F72672119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7915039"/>
        <c:axId val="1187916687"/>
      </c:barChart>
      <c:catAx>
        <c:axId val="118791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O"/>
          </a:p>
        </c:txPr>
        <c:crossAx val="1187916687"/>
        <c:crosses val="autoZero"/>
        <c:auto val="1"/>
        <c:lblAlgn val="ctr"/>
        <c:lblOffset val="100"/>
        <c:noMultiLvlLbl val="0"/>
      </c:catAx>
      <c:valAx>
        <c:axId val="118791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RO"/>
          </a:p>
        </c:txPr>
        <c:crossAx val="1187915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R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R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177800</xdr:rowOff>
    </xdr:from>
    <xdr:to>
      <xdr:col>5</xdr:col>
      <xdr:colOff>584200</xdr:colOff>
      <xdr:row>25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92518E-AA9E-9708-7996-2C432EAF79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8</xdr:row>
      <xdr:rowOff>38100</xdr:rowOff>
    </xdr:from>
    <xdr:to>
      <xdr:col>8</xdr:col>
      <xdr:colOff>457200</xdr:colOff>
      <xdr:row>33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DEB223-2850-C1A9-9D0F-D3028ECAC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Pack by Diakov" refreshedDate="44347.922519097221" createdVersion="7" refreshedVersion="7" minRefreshableVersion="3" recordCount="244" xr:uid="{2FC0123D-0AF0-4D3A-B12B-2CB5A298431C}">
  <cacheSource type="worksheet">
    <worksheetSource ref="A1:P245" sheet="Vanzari"/>
  </cacheSource>
  <cacheFields count="16">
    <cacheField name="Data Comandarii" numFmtId="14">
      <sharedItems containsSemiMixedTypes="0" containsNonDate="0" containsDate="1" containsString="0" minDate="2020-01-01T00:00:00" maxDate="2021-12-31T00:00:00"/>
    </cacheField>
    <cacheField name="Judet" numFmtId="0">
      <sharedItems count="4">
        <s v="Dolj"/>
        <s v="Timis"/>
        <s v="Dambovita"/>
        <s v="Ilfov"/>
      </sharedItems>
    </cacheField>
    <cacheField name="Oras" numFmtId="0">
      <sharedItems count="4">
        <s v="Craiova"/>
        <s v="Timisoara"/>
        <s v="Targoviste"/>
        <s v="Bucuresti"/>
      </sharedItems>
    </cacheField>
    <cacheField name="Categorie" numFmtId="0">
      <sharedItems count="4">
        <s v="Alcool si Tigari"/>
        <s v="Dulciuri"/>
        <s v="Fructe sau Legume"/>
        <s v="Gustari"/>
      </sharedItems>
    </cacheField>
    <cacheField name="Produs" numFmtId="0">
      <sharedItems count="29">
        <s v="Coniac"/>
        <s v="Vin alb"/>
        <s v="Tigari Camel"/>
        <s v="Tigari Dunhill"/>
        <s v="Tigari Marlboro"/>
        <s v="Vin rosu"/>
        <s v="Votca"/>
        <s v="Biscuiti cu vanilie"/>
        <s v="Napolitane "/>
        <s v="Inghetata cu vanilie"/>
        <s v="Biscuiti cu ciocolata"/>
        <s v="Ciocolata Neagra 90% cacao"/>
        <s v="Biscuiti integrali"/>
        <s v="Capsuni"/>
        <s v="Castravete"/>
        <s v="Ceapa"/>
        <s v="Struguri"/>
        <s v="Varza"/>
        <s v="Mere"/>
        <s v="Cirese"/>
        <s v="Pere"/>
        <s v="Rosii"/>
        <s v="Morcov"/>
        <s v="Salata"/>
        <s v="Banane"/>
        <s v="Popcorn"/>
        <s v="Cipsuri"/>
        <s v="Saratele"/>
        <s v="Covrigi"/>
      </sharedItems>
    </cacheField>
    <cacheField name="Cantitate Vanduta" numFmtId="0">
      <sharedItems containsSemiMixedTypes="0" containsString="0" containsNumber="1" containsInteger="1" minValue="20" maxValue="930"/>
    </cacheField>
    <cacheField name="Pret unitar de producere" numFmtId="2">
      <sharedItems containsSemiMixedTypes="0" containsString="0" containsNumber="1" minValue="0.31" maxValue="40.119999999999997"/>
    </cacheField>
    <cacheField name="Pret Unitar de vanzare fara taxe" numFmtId="2">
      <sharedItems containsSemiMixedTypes="0" containsString="0" containsNumber="1" minValue="0.67" maxValue="54.32"/>
    </cacheField>
    <cacheField name="Tip taxa" numFmtId="2">
      <sharedItems/>
    </cacheField>
    <cacheField name="Valoare taxe" numFmtId="2">
      <sharedItems containsSemiMixedTypes="0" containsString="0" containsNumber="1" minValue="6.0299999999999999E-2" maxValue="2.7160000000000002"/>
    </cacheField>
    <cacheField name="Pret Unitar de vanzare cu taxe" numFmtId="2">
      <sharedItems containsSemiMixedTypes="0" containsString="0" containsNumber="1" minValue="0.73030000000000006" maxValue="57.036000000000001"/>
    </cacheField>
    <cacheField name="Pret total productie" numFmtId="2">
      <sharedItems containsSemiMixedTypes="0" containsString="0" containsNumber="1" minValue="18.48" maxValue="8984.67"/>
    </cacheField>
    <cacheField name="Pret Total Vanzare" numFmtId="0">
      <sharedItems containsSemiMixedTypes="0" containsString="0" containsNumber="1" minValue="32.133200000000002" maxValue="13517.532000000001"/>
    </cacheField>
    <cacheField name="Profit" numFmtId="0">
      <sharedItems/>
    </cacheField>
    <cacheField name="Valoare profit" numFmtId="2">
      <sharedItems containsSemiMixedTypes="0" containsString="0" containsNumber="1" minValue="4.2600000000000051" maxValue="5309.1500000000005"/>
    </cacheField>
    <cacheField name="Profit Impozitat" numFmtId="2">
      <sharedItems containsSemiMixedTypes="0" containsString="0" containsNumber="1" minValue="4.2600000000000051" maxValue="3716.405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d v="2021-05-10T00:00:00"/>
    <x v="0"/>
    <x v="0"/>
    <x v="0"/>
    <x v="0"/>
    <n v="33"/>
    <n v="40.119999999999997"/>
    <n v="47.62"/>
    <s v="ACCIZA"/>
    <n v="2.3809999999999998"/>
    <n v="50.000999999999998"/>
    <n v="1323.9599999999998"/>
    <n v="1650.0329999999999"/>
    <s v="PROFIT"/>
    <n v="326.07300000000009"/>
    <n v="322.81227000000007"/>
  </r>
  <r>
    <d v="2021-05-28T00:00:00"/>
    <x v="1"/>
    <x v="1"/>
    <x v="0"/>
    <x v="0"/>
    <n v="36"/>
    <n v="40.119999999999997"/>
    <n v="47.62"/>
    <s v="ACCIZA"/>
    <n v="2.3809999999999998"/>
    <n v="50.000999999999998"/>
    <n v="1444.32"/>
    <n v="1800.0359999999998"/>
    <s v="PROFIT"/>
    <n v="355.71599999999989"/>
    <n v="352.15883999999988"/>
  </r>
  <r>
    <d v="2021-07-27T00:00:00"/>
    <x v="2"/>
    <x v="2"/>
    <x v="0"/>
    <x v="1"/>
    <n v="20"/>
    <n v="9.6199999999999992"/>
    <n v="26.51"/>
    <s v="ACCIZA"/>
    <n v="1.3255000000000001"/>
    <n v="27.835500000000003"/>
    <n v="192.39999999999998"/>
    <n v="556.71"/>
    <s v="PROFIT"/>
    <n v="364.31000000000006"/>
    <n v="360.66690000000006"/>
  </r>
  <r>
    <d v="2021-06-27T00:00:00"/>
    <x v="3"/>
    <x v="3"/>
    <x v="0"/>
    <x v="0"/>
    <n v="38"/>
    <n v="40.119999999999997"/>
    <n v="47.62"/>
    <s v="ACCIZA"/>
    <n v="2.3809999999999998"/>
    <n v="50.000999999999998"/>
    <n v="1524.56"/>
    <n v="1900.038"/>
    <s v="PROFIT"/>
    <n v="375.47800000000007"/>
    <n v="371.72322000000008"/>
  </r>
  <r>
    <d v="2021-06-18T00:00:00"/>
    <x v="0"/>
    <x v="0"/>
    <x v="0"/>
    <x v="0"/>
    <n v="40"/>
    <n v="40.119999999999997"/>
    <n v="47.62"/>
    <s v="ACCIZA"/>
    <n v="2.3809999999999998"/>
    <n v="50.000999999999998"/>
    <n v="1604.8"/>
    <n v="2000.04"/>
    <s v="PROFIT"/>
    <n v="395.24"/>
    <n v="391.2876"/>
  </r>
  <r>
    <d v="2021-05-22T00:00:00"/>
    <x v="2"/>
    <x v="2"/>
    <x v="0"/>
    <x v="0"/>
    <n v="43"/>
    <n v="40.119999999999997"/>
    <n v="47.62"/>
    <s v="ACCIZA"/>
    <n v="2.3809999999999998"/>
    <n v="50.000999999999998"/>
    <n v="1725.1599999999999"/>
    <n v="2150.0430000000001"/>
    <s v="PROFIT"/>
    <n v="424.88300000000027"/>
    <n v="420.63417000000027"/>
  </r>
  <r>
    <d v="2020-05-25T00:00:00"/>
    <x v="3"/>
    <x v="3"/>
    <x v="0"/>
    <x v="2"/>
    <n v="27"/>
    <n v="5"/>
    <n v="20"/>
    <s v="ACCIZA"/>
    <n v="1"/>
    <n v="21"/>
    <n v="135"/>
    <n v="567"/>
    <s v="PROFIT"/>
    <n v="432"/>
    <n v="427.68"/>
  </r>
  <r>
    <d v="2021-05-31T00:00:00"/>
    <x v="1"/>
    <x v="1"/>
    <x v="0"/>
    <x v="0"/>
    <n v="44"/>
    <n v="40.119999999999997"/>
    <n v="47.62"/>
    <s v="ACCIZA"/>
    <n v="2.3809999999999998"/>
    <n v="50.000999999999998"/>
    <n v="1765.28"/>
    <n v="2200.0439999999999"/>
    <s v="PROFIT"/>
    <n v="434.7639999999999"/>
    <n v="430.41635999999988"/>
  </r>
  <r>
    <d v="2020-09-07T00:00:00"/>
    <x v="3"/>
    <x v="3"/>
    <x v="0"/>
    <x v="3"/>
    <n v="28"/>
    <n v="5"/>
    <n v="20"/>
    <s v="ACCIZA"/>
    <n v="1"/>
    <n v="21"/>
    <n v="140"/>
    <n v="588"/>
    <s v="PROFIT"/>
    <n v="448"/>
    <n v="443.52"/>
  </r>
  <r>
    <d v="2020-03-05T00:00:00"/>
    <x v="1"/>
    <x v="1"/>
    <x v="0"/>
    <x v="4"/>
    <n v="30"/>
    <n v="5"/>
    <n v="20"/>
    <s v="ACCIZA"/>
    <n v="1"/>
    <n v="21"/>
    <n v="150"/>
    <n v="630"/>
    <s v="PROFIT"/>
    <n v="480"/>
    <n v="475.2"/>
  </r>
  <r>
    <d v="2020-02-03T00:00:00"/>
    <x v="3"/>
    <x v="3"/>
    <x v="0"/>
    <x v="4"/>
    <n v="31"/>
    <n v="5"/>
    <n v="20"/>
    <s v="ACCIZA"/>
    <n v="1"/>
    <n v="21"/>
    <n v="155"/>
    <n v="651"/>
    <s v="PROFIT"/>
    <n v="496"/>
    <n v="491.04"/>
  </r>
  <r>
    <d v="2020-08-17T00:00:00"/>
    <x v="3"/>
    <x v="3"/>
    <x v="0"/>
    <x v="3"/>
    <n v="31"/>
    <n v="5"/>
    <n v="20"/>
    <s v="ACCIZA"/>
    <n v="1"/>
    <n v="21"/>
    <n v="155"/>
    <n v="651"/>
    <s v="PROFIT"/>
    <n v="496"/>
    <n v="491.04"/>
  </r>
  <r>
    <d v="2021-10-10T00:00:00"/>
    <x v="0"/>
    <x v="0"/>
    <x v="0"/>
    <x v="5"/>
    <n v="23"/>
    <n v="9.6199999999999992"/>
    <n v="29.8"/>
    <s v="ACCIZA"/>
    <n v="1.4900000000000002"/>
    <n v="31.29"/>
    <n v="221.26"/>
    <n v="719.67"/>
    <s v="PROFIT"/>
    <n v="498.40999999999997"/>
    <n v="493.42589999999996"/>
  </r>
  <r>
    <d v="2020-11-15T00:00:00"/>
    <x v="1"/>
    <x v="1"/>
    <x v="0"/>
    <x v="3"/>
    <n v="32"/>
    <n v="5"/>
    <n v="20"/>
    <s v="ACCIZA"/>
    <n v="1"/>
    <n v="21"/>
    <n v="160"/>
    <n v="672"/>
    <s v="PROFIT"/>
    <n v="512"/>
    <n v="486.4"/>
  </r>
  <r>
    <d v="2021-11-03T00:00:00"/>
    <x v="1"/>
    <x v="1"/>
    <x v="0"/>
    <x v="5"/>
    <n v="24"/>
    <n v="9.6199999999999992"/>
    <n v="29.8"/>
    <s v="ACCIZA"/>
    <n v="1.4900000000000002"/>
    <n v="31.29"/>
    <n v="230.88"/>
    <n v="750.96"/>
    <s v="PROFIT"/>
    <n v="520.08000000000004"/>
    <n v="494.07600000000002"/>
  </r>
  <r>
    <d v="2020-02-27T00:00:00"/>
    <x v="2"/>
    <x v="2"/>
    <x v="0"/>
    <x v="4"/>
    <n v="33"/>
    <n v="5"/>
    <n v="20"/>
    <s v="ACCIZA"/>
    <n v="1"/>
    <n v="21"/>
    <n v="165"/>
    <n v="693"/>
    <s v="PROFIT"/>
    <n v="528"/>
    <n v="501.6"/>
  </r>
  <r>
    <d v="2020-12-06T00:00:00"/>
    <x v="1"/>
    <x v="1"/>
    <x v="0"/>
    <x v="6"/>
    <n v="29"/>
    <n v="37.909999999999997"/>
    <n v="54.32"/>
    <s v="ACCIZA"/>
    <n v="2.7160000000000002"/>
    <n v="57.036000000000001"/>
    <n v="1099.3899999999999"/>
    <n v="1654.0440000000001"/>
    <s v="PROFIT"/>
    <n v="554.65400000000022"/>
    <n v="526.9213000000002"/>
  </r>
  <r>
    <d v="2021-02-16T00:00:00"/>
    <x v="1"/>
    <x v="1"/>
    <x v="0"/>
    <x v="6"/>
    <n v="29"/>
    <n v="37.909999999999997"/>
    <n v="54.32"/>
    <s v="ACCIZA"/>
    <n v="2.7160000000000002"/>
    <n v="57.036000000000001"/>
    <n v="1099.3899999999999"/>
    <n v="1654.0440000000001"/>
    <s v="PROFIT"/>
    <n v="554.65400000000022"/>
    <n v="526.9213000000002"/>
  </r>
  <r>
    <d v="2021-05-04T00:00:00"/>
    <x v="2"/>
    <x v="2"/>
    <x v="0"/>
    <x v="0"/>
    <n v="58"/>
    <n v="40.119999999999997"/>
    <n v="47.62"/>
    <s v="ACCIZA"/>
    <n v="2.3809999999999998"/>
    <n v="50.000999999999998"/>
    <n v="2326.96"/>
    <n v="2900.058"/>
    <s v="PROFIT"/>
    <n v="573.09799999999996"/>
    <n v="544.44309999999996"/>
  </r>
  <r>
    <d v="2021-02-25T00:00:00"/>
    <x v="2"/>
    <x v="2"/>
    <x v="0"/>
    <x v="6"/>
    <n v="30"/>
    <n v="37.909999999999997"/>
    <n v="54.32"/>
    <s v="ACCIZA"/>
    <n v="2.7160000000000002"/>
    <n v="57.036000000000001"/>
    <n v="1137.3"/>
    <n v="1711.08"/>
    <s v="PROFIT"/>
    <n v="573.78"/>
    <n v="545.09100000000001"/>
  </r>
  <r>
    <d v="2020-01-31T00:00:00"/>
    <x v="3"/>
    <x v="3"/>
    <x v="0"/>
    <x v="4"/>
    <n v="36"/>
    <n v="5"/>
    <n v="20"/>
    <s v="ACCIZA"/>
    <n v="1"/>
    <n v="21"/>
    <n v="180"/>
    <n v="756"/>
    <s v="PROFIT"/>
    <n v="576"/>
    <n v="547.20000000000005"/>
  </r>
  <r>
    <d v="2021-07-21T00:00:00"/>
    <x v="3"/>
    <x v="3"/>
    <x v="0"/>
    <x v="1"/>
    <n v="32"/>
    <n v="9.6199999999999992"/>
    <n v="26.51"/>
    <s v="ACCIZA"/>
    <n v="1.3255000000000001"/>
    <n v="27.835500000000003"/>
    <n v="307.83999999999997"/>
    <n v="890.7360000000001"/>
    <s v="PROFIT"/>
    <n v="582.89600000000019"/>
    <n v="553.75120000000015"/>
  </r>
  <r>
    <d v="2021-07-06T00:00:00"/>
    <x v="2"/>
    <x v="2"/>
    <x v="0"/>
    <x v="0"/>
    <n v="60"/>
    <n v="40.119999999999997"/>
    <n v="47.62"/>
    <s v="ACCIZA"/>
    <n v="2.3809999999999998"/>
    <n v="50.000999999999998"/>
    <n v="2407.1999999999998"/>
    <n v="3000.06"/>
    <s v="PROFIT"/>
    <n v="592.86000000000013"/>
    <n v="563.2170000000001"/>
  </r>
  <r>
    <d v="2020-01-13T00:00:00"/>
    <x v="3"/>
    <x v="3"/>
    <x v="0"/>
    <x v="4"/>
    <n v="38"/>
    <n v="5"/>
    <n v="20"/>
    <s v="ACCIZA"/>
    <n v="1"/>
    <n v="21"/>
    <n v="190"/>
    <n v="798"/>
    <s v="PROFIT"/>
    <n v="608"/>
    <n v="577.6"/>
  </r>
  <r>
    <d v="2021-01-02T00:00:00"/>
    <x v="3"/>
    <x v="3"/>
    <x v="0"/>
    <x v="6"/>
    <n v="32"/>
    <n v="37.909999999999997"/>
    <n v="54.32"/>
    <s v="ACCIZA"/>
    <n v="2.7160000000000002"/>
    <n v="57.036000000000001"/>
    <n v="1213.1199999999999"/>
    <n v="1825.152"/>
    <s v="PROFIT"/>
    <n v="612.03200000000015"/>
    <n v="581.43040000000019"/>
  </r>
  <r>
    <d v="2020-03-23T00:00:00"/>
    <x v="1"/>
    <x v="1"/>
    <x v="0"/>
    <x v="4"/>
    <n v="39"/>
    <n v="5"/>
    <n v="20"/>
    <s v="ACCIZA"/>
    <n v="1"/>
    <n v="21"/>
    <n v="195"/>
    <n v="819"/>
    <s v="PROFIT"/>
    <n v="624"/>
    <n v="592.79999999999995"/>
  </r>
  <r>
    <d v="2020-10-25T00:00:00"/>
    <x v="3"/>
    <x v="3"/>
    <x v="0"/>
    <x v="3"/>
    <n v="40"/>
    <n v="5"/>
    <n v="20"/>
    <s v="ACCIZA"/>
    <n v="1"/>
    <n v="21"/>
    <n v="200"/>
    <n v="840"/>
    <s v="PROFIT"/>
    <n v="640"/>
    <n v="608"/>
  </r>
  <r>
    <d v="2021-02-07T00:00:00"/>
    <x v="2"/>
    <x v="2"/>
    <x v="0"/>
    <x v="6"/>
    <n v="34"/>
    <n v="37.909999999999997"/>
    <n v="54.32"/>
    <s v="ACCIZA"/>
    <n v="2.7160000000000002"/>
    <n v="57.036000000000001"/>
    <n v="1288.9399999999998"/>
    <n v="1939.2240000000002"/>
    <s v="PROFIT"/>
    <n v="650.28400000000033"/>
    <n v="617.76980000000026"/>
  </r>
  <r>
    <d v="2021-07-09T00:00:00"/>
    <x v="0"/>
    <x v="0"/>
    <x v="0"/>
    <x v="1"/>
    <n v="37"/>
    <n v="9.6199999999999992"/>
    <n v="26.51"/>
    <s v="ACCIZA"/>
    <n v="1.3255000000000001"/>
    <n v="27.835500000000003"/>
    <n v="355.94"/>
    <n v="1029.9135000000001"/>
    <s v="PROFIT"/>
    <n v="673.97350000000006"/>
    <n v="640.27482500000008"/>
  </r>
  <r>
    <d v="2020-02-18T00:00:00"/>
    <x v="3"/>
    <x v="3"/>
    <x v="0"/>
    <x v="4"/>
    <n v="43"/>
    <n v="5"/>
    <n v="20"/>
    <s v="ACCIZA"/>
    <n v="1"/>
    <n v="21"/>
    <n v="215"/>
    <n v="903"/>
    <s v="PROFIT"/>
    <n v="688"/>
    <n v="653.6"/>
  </r>
  <r>
    <d v="2020-12-12T00:00:00"/>
    <x v="3"/>
    <x v="3"/>
    <x v="0"/>
    <x v="6"/>
    <n v="36"/>
    <n v="37.909999999999997"/>
    <n v="54.32"/>
    <s v="ACCIZA"/>
    <n v="2.7160000000000002"/>
    <n v="57.036000000000001"/>
    <n v="1364.7599999999998"/>
    <n v="2053.2960000000003"/>
    <s v="PROFIT"/>
    <n v="688.53600000000051"/>
    <n v="654.10920000000044"/>
  </r>
  <r>
    <d v="2021-04-04T00:00:00"/>
    <x v="3"/>
    <x v="3"/>
    <x v="0"/>
    <x v="6"/>
    <n v="36"/>
    <n v="37.909999999999997"/>
    <n v="54.32"/>
    <s v="ACCIZA"/>
    <n v="2.7160000000000002"/>
    <n v="57.036000000000001"/>
    <n v="1364.7599999999998"/>
    <n v="2053.2960000000003"/>
    <s v="PROFIT"/>
    <n v="688.53600000000051"/>
    <n v="654.10920000000044"/>
  </r>
  <r>
    <d v="2021-08-08T00:00:00"/>
    <x v="1"/>
    <x v="1"/>
    <x v="0"/>
    <x v="1"/>
    <n v="38"/>
    <n v="9.6199999999999992"/>
    <n v="26.51"/>
    <s v="ACCIZA"/>
    <n v="1.3255000000000001"/>
    <n v="27.835500000000003"/>
    <n v="365.55999999999995"/>
    <n v="1057.749"/>
    <s v="PROFIT"/>
    <n v="692.18900000000008"/>
    <n v="657.57955000000004"/>
  </r>
  <r>
    <d v="2021-07-12T00:00:00"/>
    <x v="0"/>
    <x v="0"/>
    <x v="0"/>
    <x v="1"/>
    <n v="40"/>
    <n v="9.6199999999999992"/>
    <n v="26.51"/>
    <s v="ACCIZA"/>
    <n v="1.3255000000000001"/>
    <n v="27.835500000000003"/>
    <n v="384.79999999999995"/>
    <n v="1113.42"/>
    <s v="PROFIT"/>
    <n v="728.62000000000012"/>
    <n v="692.18900000000008"/>
  </r>
  <r>
    <d v="2021-11-18T00:00:00"/>
    <x v="0"/>
    <x v="0"/>
    <x v="0"/>
    <x v="5"/>
    <n v="34"/>
    <n v="9.6199999999999992"/>
    <n v="29.8"/>
    <s v="ACCIZA"/>
    <n v="1.4900000000000002"/>
    <n v="31.29"/>
    <n v="327.08"/>
    <n v="1063.8599999999999"/>
    <s v="PROFIT"/>
    <n v="736.78"/>
    <n v="699.94100000000003"/>
  </r>
  <r>
    <d v="2021-12-18T00:00:00"/>
    <x v="3"/>
    <x v="3"/>
    <x v="0"/>
    <x v="5"/>
    <n v="34"/>
    <n v="9.6199999999999992"/>
    <n v="29.8"/>
    <s v="ACCIZA"/>
    <n v="1.4900000000000002"/>
    <n v="31.29"/>
    <n v="327.08"/>
    <n v="1063.8599999999999"/>
    <s v="PROFIT"/>
    <n v="736.78"/>
    <n v="699.94100000000003"/>
  </r>
  <r>
    <d v="2021-08-23T00:00:00"/>
    <x v="0"/>
    <x v="0"/>
    <x v="0"/>
    <x v="1"/>
    <n v="41"/>
    <n v="9.6199999999999992"/>
    <n v="26.51"/>
    <s v="ACCIZA"/>
    <n v="1.3255000000000001"/>
    <n v="27.835500000000003"/>
    <n v="394.41999999999996"/>
    <n v="1141.2555000000002"/>
    <s v="PROFIT"/>
    <n v="746.83550000000025"/>
    <n v="709.49372500000027"/>
  </r>
  <r>
    <d v="2021-05-01T00:00:00"/>
    <x v="2"/>
    <x v="2"/>
    <x v="0"/>
    <x v="0"/>
    <n v="77"/>
    <n v="40.119999999999997"/>
    <n v="47.62"/>
    <s v="ACCIZA"/>
    <n v="2.3809999999999998"/>
    <n v="50.000999999999998"/>
    <n v="3089.24"/>
    <n v="3850.0769999999998"/>
    <s v="PROFIT"/>
    <n v="760.83699999999999"/>
    <n v="722.79515000000004"/>
  </r>
  <r>
    <d v="2020-10-28T00:00:00"/>
    <x v="3"/>
    <x v="3"/>
    <x v="0"/>
    <x v="3"/>
    <n v="49"/>
    <n v="5"/>
    <n v="20"/>
    <s v="ACCIZA"/>
    <n v="1"/>
    <n v="21"/>
    <n v="245"/>
    <n v="1029"/>
    <s v="PROFIT"/>
    <n v="784"/>
    <n v="744.8"/>
  </r>
  <r>
    <d v="2021-05-13T00:00:00"/>
    <x v="1"/>
    <x v="1"/>
    <x v="0"/>
    <x v="0"/>
    <n v="82"/>
    <n v="40.119999999999997"/>
    <n v="47.62"/>
    <s v="ACCIZA"/>
    <n v="2.3809999999999998"/>
    <n v="50.000999999999998"/>
    <n v="3289.8399999999997"/>
    <n v="4100.0819999999994"/>
    <s v="PROFIT"/>
    <n v="810.24199999999973"/>
    <n v="769.7298999999997"/>
  </r>
  <r>
    <d v="2020-06-30T00:00:00"/>
    <x v="0"/>
    <x v="0"/>
    <x v="0"/>
    <x v="2"/>
    <n v="51"/>
    <n v="5"/>
    <n v="20"/>
    <s v="ACCIZA"/>
    <n v="1"/>
    <n v="21"/>
    <n v="255"/>
    <n v="1071"/>
    <s v="PROFIT"/>
    <n v="816"/>
    <n v="775.2"/>
  </r>
  <r>
    <d v="2021-09-22T00:00:00"/>
    <x v="3"/>
    <x v="3"/>
    <x v="0"/>
    <x v="5"/>
    <n v="40"/>
    <n v="9.6199999999999992"/>
    <n v="29.8"/>
    <s v="ACCIZA"/>
    <n v="1.4900000000000002"/>
    <n v="31.29"/>
    <n v="384.79999999999995"/>
    <n v="1251.5999999999999"/>
    <s v="PROFIT"/>
    <n v="866.8"/>
    <n v="823.45999999999992"/>
  </r>
  <r>
    <d v="2020-05-22T00:00:00"/>
    <x v="1"/>
    <x v="1"/>
    <x v="0"/>
    <x v="2"/>
    <n v="55"/>
    <n v="5"/>
    <n v="20"/>
    <s v="ACCIZA"/>
    <n v="1"/>
    <n v="21"/>
    <n v="275"/>
    <n v="1155"/>
    <s v="PROFIT"/>
    <n v="880"/>
    <n v="836"/>
  </r>
  <r>
    <d v="2020-07-21T00:00:00"/>
    <x v="0"/>
    <x v="0"/>
    <x v="0"/>
    <x v="2"/>
    <n v="56"/>
    <n v="5"/>
    <n v="20"/>
    <s v="ACCIZA"/>
    <n v="1"/>
    <n v="21"/>
    <n v="280"/>
    <n v="1176"/>
    <s v="PROFIT"/>
    <n v="896"/>
    <n v="851.2"/>
  </r>
  <r>
    <d v="2021-12-30T00:00:00"/>
    <x v="2"/>
    <x v="2"/>
    <x v="0"/>
    <x v="5"/>
    <n v="44"/>
    <n v="9.6199999999999992"/>
    <n v="29.8"/>
    <s v="ACCIZA"/>
    <n v="1.4900000000000002"/>
    <n v="31.29"/>
    <n v="423.28"/>
    <n v="1376.76"/>
    <s v="PROFIT"/>
    <n v="953.48"/>
    <n v="905.80600000000004"/>
  </r>
  <r>
    <d v="2021-01-26T00:00:00"/>
    <x v="3"/>
    <x v="3"/>
    <x v="0"/>
    <x v="6"/>
    <n v="52"/>
    <n v="37.909999999999997"/>
    <n v="54.32"/>
    <s v="ACCIZA"/>
    <n v="2.7160000000000002"/>
    <n v="57.036000000000001"/>
    <n v="1971.3199999999997"/>
    <n v="2965.8720000000003"/>
    <s v="PROFIT"/>
    <n v="994.55200000000059"/>
    <n v="944.82440000000054"/>
  </r>
  <r>
    <d v="2020-05-01T00:00:00"/>
    <x v="1"/>
    <x v="1"/>
    <x v="0"/>
    <x v="4"/>
    <n v="63"/>
    <n v="5"/>
    <n v="20"/>
    <s v="ACCIZA"/>
    <n v="1"/>
    <n v="21"/>
    <n v="315"/>
    <n v="1323"/>
    <s v="PROFIT"/>
    <n v="1008"/>
    <n v="957.6"/>
  </r>
  <r>
    <d v="2021-10-04T00:00:00"/>
    <x v="2"/>
    <x v="2"/>
    <x v="0"/>
    <x v="5"/>
    <n v="47"/>
    <n v="9.6199999999999992"/>
    <n v="29.8"/>
    <s v="ACCIZA"/>
    <n v="1.4900000000000002"/>
    <n v="31.29"/>
    <n v="452.14"/>
    <n v="1470.6299999999999"/>
    <s v="PROFIT"/>
    <n v="1018.4899999999999"/>
    <n v="967.56549999999993"/>
  </r>
  <r>
    <d v="2020-09-22T00:00:00"/>
    <x v="0"/>
    <x v="0"/>
    <x v="0"/>
    <x v="3"/>
    <n v="65"/>
    <n v="5"/>
    <n v="20"/>
    <s v="ACCIZA"/>
    <n v="1"/>
    <n v="21"/>
    <n v="325"/>
    <n v="1365"/>
    <s v="PROFIT"/>
    <n v="1040"/>
    <n v="988"/>
  </r>
  <r>
    <d v="2021-02-04T00:00:00"/>
    <x v="2"/>
    <x v="2"/>
    <x v="0"/>
    <x v="6"/>
    <n v="58"/>
    <n v="37.909999999999997"/>
    <n v="54.32"/>
    <s v="ACCIZA"/>
    <n v="2.7160000000000002"/>
    <n v="57.036000000000001"/>
    <n v="2198.7799999999997"/>
    <n v="3308.0880000000002"/>
    <s v="PROFIT"/>
    <n v="1109.3080000000004"/>
    <n v="1053.8426000000004"/>
  </r>
  <r>
    <d v="2020-08-14T00:00:00"/>
    <x v="1"/>
    <x v="1"/>
    <x v="0"/>
    <x v="2"/>
    <n v="70"/>
    <n v="5"/>
    <n v="20"/>
    <s v="ACCIZA"/>
    <n v="1"/>
    <n v="21"/>
    <n v="350"/>
    <n v="1470"/>
    <s v="PROFIT"/>
    <n v="1120"/>
    <n v="1064"/>
  </r>
  <r>
    <d v="2021-07-30T00:00:00"/>
    <x v="2"/>
    <x v="2"/>
    <x v="0"/>
    <x v="1"/>
    <n v="64"/>
    <n v="9.6199999999999992"/>
    <n v="26.51"/>
    <s v="ACCIZA"/>
    <n v="1.3255000000000001"/>
    <n v="27.835500000000003"/>
    <n v="615.67999999999995"/>
    <n v="1781.4720000000002"/>
    <s v="PROFIT"/>
    <n v="1165.7920000000004"/>
    <n v="1107.5024000000003"/>
  </r>
  <r>
    <d v="2020-09-01T00:00:00"/>
    <x v="0"/>
    <x v="0"/>
    <x v="0"/>
    <x v="3"/>
    <n v="74"/>
    <n v="5"/>
    <n v="20"/>
    <s v="ACCIZA"/>
    <n v="1"/>
    <n v="21"/>
    <n v="370"/>
    <n v="1554"/>
    <s v="PROFIT"/>
    <n v="1184"/>
    <n v="1124.8"/>
  </r>
  <r>
    <d v="2021-06-06T00:00:00"/>
    <x v="3"/>
    <x v="3"/>
    <x v="0"/>
    <x v="0"/>
    <n v="120"/>
    <n v="40.119999999999997"/>
    <n v="47.62"/>
    <s v="ACCIZA"/>
    <n v="2.3809999999999998"/>
    <n v="50.000999999999998"/>
    <n v="4814.3999999999996"/>
    <n v="6000.12"/>
    <s v="PROFIT"/>
    <n v="1185.7200000000003"/>
    <n v="1126.4340000000002"/>
  </r>
  <r>
    <d v="2020-07-15T00:00:00"/>
    <x v="2"/>
    <x v="2"/>
    <x v="0"/>
    <x v="2"/>
    <n v="75"/>
    <n v="5"/>
    <n v="20"/>
    <s v="ACCIZA"/>
    <n v="1"/>
    <n v="21"/>
    <n v="375"/>
    <n v="1575"/>
    <s v="PROFIT"/>
    <n v="1200"/>
    <n v="1140"/>
  </r>
  <r>
    <d v="2020-06-06T00:00:00"/>
    <x v="0"/>
    <x v="0"/>
    <x v="0"/>
    <x v="2"/>
    <n v="76"/>
    <n v="5"/>
    <n v="20"/>
    <s v="ACCIZA"/>
    <n v="1"/>
    <n v="21"/>
    <n v="380"/>
    <n v="1596"/>
    <s v="PROFIT"/>
    <n v="1216"/>
    <n v="1155.2"/>
  </r>
  <r>
    <d v="2020-12-27T00:00:00"/>
    <x v="0"/>
    <x v="0"/>
    <x v="0"/>
    <x v="6"/>
    <n v="65"/>
    <n v="37.909999999999997"/>
    <n v="54.32"/>
    <s v="ACCIZA"/>
    <n v="2.7160000000000002"/>
    <n v="57.036000000000001"/>
    <n v="2464.1499999999996"/>
    <n v="3707.34"/>
    <s v="PROFIT"/>
    <n v="1243.1900000000005"/>
    <n v="1181.0305000000005"/>
  </r>
  <r>
    <d v="2021-03-29T00:00:00"/>
    <x v="0"/>
    <x v="0"/>
    <x v="0"/>
    <x v="6"/>
    <n v="65"/>
    <n v="37.909999999999997"/>
    <n v="54.32"/>
    <s v="ACCIZA"/>
    <n v="2.7160000000000002"/>
    <n v="57.036000000000001"/>
    <n v="2464.1499999999996"/>
    <n v="3707.34"/>
    <s v="PROFIT"/>
    <n v="1243.1900000000005"/>
    <n v="1181.0305000000005"/>
  </r>
  <r>
    <d v="2021-04-28T00:00:00"/>
    <x v="3"/>
    <x v="3"/>
    <x v="0"/>
    <x v="0"/>
    <n v="129"/>
    <n v="40.119999999999997"/>
    <n v="47.62"/>
    <s v="ACCIZA"/>
    <n v="2.3809999999999998"/>
    <n v="50.000999999999998"/>
    <n v="5175.4799999999996"/>
    <n v="6450.1289999999999"/>
    <s v="PROFIT"/>
    <n v="1274.6490000000003"/>
    <n v="1210.9165500000004"/>
  </r>
  <r>
    <d v="2020-08-26T00:00:00"/>
    <x v="2"/>
    <x v="2"/>
    <x v="0"/>
    <x v="3"/>
    <n v="80"/>
    <n v="5"/>
    <n v="20"/>
    <s v="ACCIZA"/>
    <n v="1"/>
    <n v="21"/>
    <n v="400"/>
    <n v="1680"/>
    <s v="PROFIT"/>
    <n v="1280"/>
    <n v="1216"/>
  </r>
  <r>
    <d v="2021-04-22T00:00:00"/>
    <x v="1"/>
    <x v="1"/>
    <x v="0"/>
    <x v="6"/>
    <n v="67"/>
    <n v="37.909999999999997"/>
    <n v="54.32"/>
    <s v="ACCIZA"/>
    <n v="2.7160000000000002"/>
    <n v="57.036000000000001"/>
    <n v="2539.9699999999998"/>
    <n v="3821.4120000000003"/>
    <s v="PROFIT"/>
    <n v="1281.4420000000005"/>
    <n v="1217.3699000000004"/>
  </r>
  <r>
    <d v="2020-09-28T00:00:00"/>
    <x v="3"/>
    <x v="3"/>
    <x v="0"/>
    <x v="3"/>
    <n v="81"/>
    <n v="5"/>
    <n v="20"/>
    <s v="ACCIZA"/>
    <n v="1"/>
    <n v="21"/>
    <n v="405"/>
    <n v="1701"/>
    <s v="PROFIT"/>
    <n v="1296"/>
    <n v="1231.2"/>
  </r>
  <r>
    <d v="2020-01-10T00:00:00"/>
    <x v="0"/>
    <x v="0"/>
    <x v="0"/>
    <x v="4"/>
    <n v="82"/>
    <n v="5"/>
    <n v="20"/>
    <s v="ACCIZA"/>
    <n v="1"/>
    <n v="21"/>
    <n v="410"/>
    <n v="1722"/>
    <s v="PROFIT"/>
    <n v="1312"/>
    <n v="1180.8"/>
  </r>
  <r>
    <d v="2020-03-02T00:00:00"/>
    <x v="0"/>
    <x v="0"/>
    <x v="0"/>
    <x v="4"/>
    <n v="85"/>
    <n v="5"/>
    <n v="20"/>
    <s v="ACCIZA"/>
    <n v="1"/>
    <n v="21"/>
    <n v="425"/>
    <n v="1785"/>
    <s v="PROFIT"/>
    <n v="1360"/>
    <n v="1224"/>
  </r>
  <r>
    <d v="2020-03-14T00:00:00"/>
    <x v="2"/>
    <x v="2"/>
    <x v="0"/>
    <x v="4"/>
    <n v="86"/>
    <n v="5"/>
    <n v="20"/>
    <s v="ACCIZA"/>
    <n v="1"/>
    <n v="21"/>
    <n v="430"/>
    <n v="1806"/>
    <s v="PROFIT"/>
    <n v="1376"/>
    <n v="1238.4000000000001"/>
  </r>
  <r>
    <d v="2021-09-10T00:00:00"/>
    <x v="2"/>
    <x v="2"/>
    <x v="0"/>
    <x v="1"/>
    <n v="79"/>
    <n v="9.6199999999999992"/>
    <n v="26.51"/>
    <s v="ACCIZA"/>
    <n v="1.3255000000000001"/>
    <n v="27.835500000000003"/>
    <n v="759.9799999999999"/>
    <n v="2199.0045000000005"/>
    <s v="PROFIT"/>
    <n v="1439.0245000000004"/>
    <n v="1295.1220500000004"/>
  </r>
  <r>
    <d v="2021-01-14T00:00:00"/>
    <x v="2"/>
    <x v="2"/>
    <x v="0"/>
    <x v="6"/>
    <n v="80"/>
    <n v="37.909999999999997"/>
    <n v="54.32"/>
    <s v="ACCIZA"/>
    <n v="2.7160000000000002"/>
    <n v="57.036000000000001"/>
    <n v="3032.7999999999997"/>
    <n v="4562.88"/>
    <s v="PROFIT"/>
    <n v="1530.0800000000004"/>
    <n v="1377.0720000000003"/>
  </r>
  <r>
    <d v="2020-11-21T00:00:00"/>
    <x v="3"/>
    <x v="3"/>
    <x v="0"/>
    <x v="3"/>
    <n v="97"/>
    <n v="5"/>
    <n v="20"/>
    <s v="ACCIZA"/>
    <n v="1"/>
    <n v="21"/>
    <n v="485"/>
    <n v="2037"/>
    <s v="PROFIT"/>
    <n v="1552"/>
    <n v="1396.8"/>
  </r>
  <r>
    <d v="2020-12-30T00:00:00"/>
    <x v="1"/>
    <x v="1"/>
    <x v="0"/>
    <x v="6"/>
    <n v="83"/>
    <n v="37.909999999999997"/>
    <n v="54.32"/>
    <s v="ACCIZA"/>
    <n v="2.7160000000000002"/>
    <n v="57.036000000000001"/>
    <n v="3146.5299999999997"/>
    <n v="4733.9880000000003"/>
    <s v="PROFIT"/>
    <n v="1587.4580000000005"/>
    <n v="1428.7122000000004"/>
  </r>
  <r>
    <d v="2021-08-05T00:00:00"/>
    <x v="1"/>
    <x v="1"/>
    <x v="0"/>
    <x v="1"/>
    <n v="90"/>
    <n v="9.6199999999999992"/>
    <n v="26.51"/>
    <s v="ACCIZA"/>
    <n v="1.3255000000000001"/>
    <n v="27.835500000000003"/>
    <n v="865.8"/>
    <n v="2505.1950000000002"/>
    <s v="PROFIT"/>
    <n v="1639.3950000000002"/>
    <n v="1475.4555000000003"/>
  </r>
  <r>
    <d v="2020-11-12T00:00:00"/>
    <x v="1"/>
    <x v="1"/>
    <x v="0"/>
    <x v="3"/>
    <n v="103"/>
    <n v="5"/>
    <n v="20"/>
    <s v="ACCIZA"/>
    <n v="1"/>
    <n v="21"/>
    <n v="515"/>
    <n v="2163"/>
    <s v="PROFIT"/>
    <n v="1648"/>
    <n v="1483.2"/>
  </r>
  <r>
    <d v="2020-08-05T00:00:00"/>
    <x v="2"/>
    <x v="2"/>
    <x v="0"/>
    <x v="2"/>
    <n v="107"/>
    <n v="5"/>
    <n v="20"/>
    <s v="ACCIZA"/>
    <n v="1"/>
    <n v="21"/>
    <n v="535"/>
    <n v="2247"/>
    <s v="PROFIT"/>
    <n v="1712"/>
    <n v="1540.8"/>
  </r>
  <r>
    <d v="2020-09-19T00:00:00"/>
    <x v="0"/>
    <x v="0"/>
    <x v="0"/>
    <x v="3"/>
    <n v="110"/>
    <n v="5"/>
    <n v="20"/>
    <s v="ACCIZA"/>
    <n v="1"/>
    <n v="21"/>
    <n v="550"/>
    <n v="2310"/>
    <s v="PROFIT"/>
    <n v="1760"/>
    <n v="1584"/>
  </r>
  <r>
    <d v="2021-03-05T00:00:00"/>
    <x v="0"/>
    <x v="0"/>
    <x v="0"/>
    <x v="6"/>
    <n v="97"/>
    <n v="37.909999999999997"/>
    <n v="54.32"/>
    <s v="ACCIZA"/>
    <n v="2.7160000000000002"/>
    <n v="57.036000000000001"/>
    <n v="3677.2699999999995"/>
    <n v="5532.4920000000002"/>
    <s v="PROFIT"/>
    <n v="1855.2220000000007"/>
    <n v="1669.6998000000006"/>
  </r>
  <r>
    <d v="2021-10-16T00:00:00"/>
    <x v="3"/>
    <x v="3"/>
    <x v="0"/>
    <x v="5"/>
    <n v="87"/>
    <n v="9.6199999999999992"/>
    <n v="29.8"/>
    <s v="ACCIZA"/>
    <n v="1.4900000000000002"/>
    <n v="31.29"/>
    <n v="836.93999999999994"/>
    <n v="2722.23"/>
    <s v="PROFIT"/>
    <n v="1885.29"/>
    <n v="1696.761"/>
  </r>
  <r>
    <d v="2020-02-21T00:00:00"/>
    <x v="3"/>
    <x v="3"/>
    <x v="0"/>
    <x v="4"/>
    <n v="123"/>
    <n v="5"/>
    <n v="20"/>
    <s v="ACCIZA"/>
    <n v="1"/>
    <n v="21"/>
    <n v="615"/>
    <n v="2583"/>
    <s v="PROFIT"/>
    <n v="1968"/>
    <n v="1771.2"/>
  </r>
  <r>
    <d v="2021-12-15T00:00:00"/>
    <x v="1"/>
    <x v="1"/>
    <x v="0"/>
    <x v="5"/>
    <n v="96"/>
    <n v="9.6199999999999992"/>
    <n v="29.8"/>
    <s v="ACCIZA"/>
    <n v="1.4900000000000002"/>
    <n v="31.29"/>
    <n v="923.52"/>
    <n v="3003.84"/>
    <s v="PROFIT"/>
    <n v="2080.3200000000002"/>
    <n v="1872.288"/>
  </r>
  <r>
    <d v="2021-12-06T00:00:00"/>
    <x v="2"/>
    <x v="2"/>
    <x v="0"/>
    <x v="5"/>
    <n v="100"/>
    <n v="9.6199999999999992"/>
    <n v="29.8"/>
    <s v="ACCIZA"/>
    <n v="1.4900000000000002"/>
    <n v="31.29"/>
    <n v="961.99999999999989"/>
    <n v="3129"/>
    <s v="PROFIT"/>
    <n v="2167"/>
    <n v="1950.3"/>
  </r>
  <r>
    <d v="2020-08-02T00:00:00"/>
    <x v="3"/>
    <x v="3"/>
    <x v="0"/>
    <x v="2"/>
    <n v="137"/>
    <n v="5"/>
    <n v="20"/>
    <s v="ACCIZA"/>
    <n v="1"/>
    <n v="21"/>
    <n v="685"/>
    <n v="2877"/>
    <s v="PROFIT"/>
    <n v="2192"/>
    <n v="1972.8"/>
  </r>
  <r>
    <d v="2020-05-07T00:00:00"/>
    <x v="3"/>
    <x v="3"/>
    <x v="0"/>
    <x v="2"/>
    <n v="138"/>
    <n v="5"/>
    <n v="20"/>
    <s v="ACCIZA"/>
    <n v="1"/>
    <n v="21"/>
    <n v="690"/>
    <n v="2898"/>
    <s v="PROFIT"/>
    <n v="2208"/>
    <n v="1987.2"/>
  </r>
  <r>
    <d v="2020-12-03T00:00:00"/>
    <x v="1"/>
    <x v="1"/>
    <x v="0"/>
    <x v="3"/>
    <n v="139"/>
    <n v="5"/>
    <n v="20"/>
    <s v="ACCIZA"/>
    <n v="1"/>
    <n v="21"/>
    <n v="695"/>
    <n v="2919"/>
    <s v="PROFIT"/>
    <n v="2224"/>
    <n v="2001.6"/>
  </r>
  <r>
    <d v="2021-04-07T00:00:00"/>
    <x v="3"/>
    <x v="3"/>
    <x v="0"/>
    <x v="6"/>
    <n v="123"/>
    <n v="37.909999999999997"/>
    <n v="54.32"/>
    <s v="ACCIZA"/>
    <n v="2.7160000000000002"/>
    <n v="57.036000000000001"/>
    <n v="4662.9299999999994"/>
    <n v="7015.4279999999999"/>
    <s v="PROFIT"/>
    <n v="2352.4980000000005"/>
    <n v="2117.2482000000005"/>
  </r>
  <r>
    <d v="2021-08-29T00:00:00"/>
    <x v="3"/>
    <x v="3"/>
    <x v="0"/>
    <x v="1"/>
    <n v="136"/>
    <n v="9.6199999999999992"/>
    <n v="26.51"/>
    <s v="ACCIZA"/>
    <n v="1.3255000000000001"/>
    <n v="27.835500000000003"/>
    <n v="1308.32"/>
    <n v="3785.6280000000006"/>
    <s v="PROFIT"/>
    <n v="2477.3080000000009"/>
    <n v="2229.5772000000006"/>
  </r>
  <r>
    <d v="2021-11-09T00:00:00"/>
    <x v="3"/>
    <x v="3"/>
    <x v="0"/>
    <x v="5"/>
    <n v="124"/>
    <n v="9.6199999999999992"/>
    <n v="29.8"/>
    <s v="ACCIZA"/>
    <n v="1.4900000000000002"/>
    <n v="31.29"/>
    <n v="1192.8799999999999"/>
    <n v="3879.96"/>
    <s v="PROFIT"/>
    <n v="2687.08"/>
    <n v="2418.3719999999998"/>
  </r>
  <r>
    <d v="2021-11-24T00:00:00"/>
    <x v="3"/>
    <x v="3"/>
    <x v="0"/>
    <x v="5"/>
    <n v="139"/>
    <n v="9.6199999999999992"/>
    <n v="29.8"/>
    <s v="ACCIZA"/>
    <n v="1.4900000000000002"/>
    <n v="31.29"/>
    <n v="1337.1799999999998"/>
    <n v="4349.3099999999995"/>
    <s v="PROFIT"/>
    <n v="3012.1299999999997"/>
    <n v="2108.491"/>
  </r>
  <r>
    <d v="2020-03-29T00:00:00"/>
    <x v="3"/>
    <x v="3"/>
    <x v="0"/>
    <x v="4"/>
    <n v="193"/>
    <n v="5"/>
    <n v="20"/>
    <s v="ACCIZA"/>
    <n v="1"/>
    <n v="21"/>
    <n v="965"/>
    <n v="4053"/>
    <s v="PROFIT"/>
    <n v="3088"/>
    <n v="2161.6"/>
  </r>
  <r>
    <d v="2021-11-15T00:00:00"/>
    <x v="0"/>
    <x v="0"/>
    <x v="0"/>
    <x v="5"/>
    <n v="146"/>
    <n v="9.6199999999999992"/>
    <n v="29.8"/>
    <s v="ACCIZA"/>
    <n v="1.4900000000000002"/>
    <n v="31.29"/>
    <n v="1404.52"/>
    <n v="4568.34"/>
    <s v="PROFIT"/>
    <n v="3163.82"/>
    <n v="2214.674"/>
  </r>
  <r>
    <d v="2020-10-13T00:00:00"/>
    <x v="0"/>
    <x v="0"/>
    <x v="0"/>
    <x v="3"/>
    <n v="224"/>
    <n v="5"/>
    <n v="20"/>
    <s v="ACCIZA"/>
    <n v="1"/>
    <n v="21"/>
    <n v="1120"/>
    <n v="4704"/>
    <s v="PROFIT"/>
    <n v="3584"/>
    <n v="2508.8000000000002"/>
  </r>
  <r>
    <d v="2021-10-07T00:00:00"/>
    <x v="0"/>
    <x v="0"/>
    <x v="0"/>
    <x v="5"/>
    <n v="175"/>
    <n v="9.6199999999999992"/>
    <n v="29.8"/>
    <s v="ACCIZA"/>
    <n v="1.4900000000000002"/>
    <n v="31.29"/>
    <n v="1683.4999999999998"/>
    <n v="5475.75"/>
    <s v="PROFIT"/>
    <n v="3792.25"/>
    <n v="2654.5749999999998"/>
  </r>
  <r>
    <d v="2021-02-28T00:00:00"/>
    <x v="2"/>
    <x v="2"/>
    <x v="0"/>
    <x v="6"/>
    <n v="232"/>
    <n v="37.909999999999997"/>
    <n v="54.32"/>
    <s v="ACCIZA"/>
    <n v="2.7160000000000002"/>
    <n v="57.036000000000001"/>
    <n v="8795.119999999999"/>
    <n v="13232.352000000001"/>
    <s v="PROFIT"/>
    <n v="4437.2320000000018"/>
    <n v="3106.0624000000016"/>
  </r>
  <r>
    <d v="2020-01-07T00:00:00"/>
    <x v="2"/>
    <x v="2"/>
    <x v="0"/>
    <x v="4"/>
    <n v="280"/>
    <n v="5"/>
    <n v="20"/>
    <s v="ACCIZA"/>
    <n v="1"/>
    <n v="21"/>
    <n v="1400"/>
    <n v="5880"/>
    <s v="PROFIT"/>
    <n v="4480"/>
    <n v="3136"/>
  </r>
  <r>
    <d v="2020-12-24T00:00:00"/>
    <x v="0"/>
    <x v="0"/>
    <x v="0"/>
    <x v="6"/>
    <n v="237"/>
    <n v="37.909999999999997"/>
    <n v="54.32"/>
    <s v="ACCIZA"/>
    <n v="2.7160000000000002"/>
    <n v="57.036000000000001"/>
    <n v="8984.67"/>
    <n v="13517.532000000001"/>
    <s v="PROFIT"/>
    <n v="4532.862000000001"/>
    <n v="3173.0034000000005"/>
  </r>
  <r>
    <d v="2021-11-27T00:00:00"/>
    <x v="3"/>
    <x v="3"/>
    <x v="0"/>
    <x v="5"/>
    <n v="211"/>
    <n v="9.6199999999999992"/>
    <n v="29.8"/>
    <s v="ACCIZA"/>
    <n v="1.4900000000000002"/>
    <n v="31.29"/>
    <n v="2029.82"/>
    <n v="6602.19"/>
    <s v="PROFIT"/>
    <n v="4572.37"/>
    <n v="3200.6589999999997"/>
  </r>
  <r>
    <d v="2020-06-03T00:00:00"/>
    <x v="2"/>
    <x v="2"/>
    <x v="0"/>
    <x v="2"/>
    <n v="288"/>
    <n v="5"/>
    <n v="20"/>
    <s v="ACCIZA"/>
    <n v="1"/>
    <n v="21"/>
    <n v="1440"/>
    <n v="6048"/>
    <s v="PROFIT"/>
    <n v="4608"/>
    <n v="3225.6000000000004"/>
  </r>
  <r>
    <d v="2021-12-21T00:00:00"/>
    <x v="3"/>
    <x v="3"/>
    <x v="0"/>
    <x v="5"/>
    <n v="245"/>
    <n v="9.6199999999999992"/>
    <n v="29.8"/>
    <s v="ACCIZA"/>
    <n v="1.4900000000000002"/>
    <n v="31.29"/>
    <n v="2356.8999999999996"/>
    <n v="7666.05"/>
    <s v="PROFIT"/>
    <n v="5309.1500000000005"/>
    <n v="3716.4050000000007"/>
  </r>
  <r>
    <d v="2021-10-22T00:00:00"/>
    <x v="3"/>
    <x v="3"/>
    <x v="1"/>
    <x v="7"/>
    <n v="35"/>
    <n v="2.2000000000000002"/>
    <n v="3.2"/>
    <s v="TVA"/>
    <n v="0.28799999999999998"/>
    <n v="3.488"/>
    <n v="77"/>
    <n v="122.08"/>
    <s v="PROFIT"/>
    <n v="45.08"/>
    <n v="45.08"/>
  </r>
  <r>
    <d v="2020-10-19T00:00:00"/>
    <x v="0"/>
    <x v="0"/>
    <x v="1"/>
    <x v="8"/>
    <n v="90"/>
    <n v="1.69"/>
    <n v="2.4900000000000002"/>
    <s v="TVA"/>
    <n v="0.22410000000000002"/>
    <n v="2.7141000000000002"/>
    <n v="152.1"/>
    <n v="244.26900000000001"/>
    <s v="PROFIT"/>
    <n v="92.169000000000011"/>
    <n v="92.169000000000011"/>
  </r>
  <r>
    <d v="2020-10-04T00:00:00"/>
    <x v="3"/>
    <x v="3"/>
    <x v="1"/>
    <x v="8"/>
    <n v="110"/>
    <n v="1.69"/>
    <n v="2.4900000000000002"/>
    <s v="TVA"/>
    <n v="0.22410000000000002"/>
    <n v="2.7141000000000002"/>
    <n v="185.9"/>
    <n v="298.55100000000004"/>
    <s v="PROFIT"/>
    <n v="112.65100000000004"/>
    <n v="111.52449000000004"/>
  </r>
  <r>
    <d v="2020-08-11T00:00:00"/>
    <x v="0"/>
    <x v="0"/>
    <x v="1"/>
    <x v="8"/>
    <n v="120"/>
    <n v="1.69"/>
    <n v="2.4900000000000002"/>
    <s v="TVA"/>
    <n v="0.22410000000000002"/>
    <n v="2.7141000000000002"/>
    <n v="202.79999999999998"/>
    <n v="325.69200000000001"/>
    <s v="PROFIT"/>
    <n v="122.89200000000002"/>
    <n v="121.66308000000002"/>
  </r>
  <r>
    <d v="2021-06-30T00:00:00"/>
    <x v="3"/>
    <x v="3"/>
    <x v="1"/>
    <x v="9"/>
    <n v="40"/>
    <n v="2.9"/>
    <n v="5.5"/>
    <s v="TVA"/>
    <n v="0.495"/>
    <n v="5.9950000000000001"/>
    <n v="116"/>
    <n v="239.8"/>
    <s v="PROFIT"/>
    <n v="123.80000000000001"/>
    <n v="122.56200000000001"/>
  </r>
  <r>
    <d v="2021-12-12T00:00:00"/>
    <x v="0"/>
    <x v="0"/>
    <x v="1"/>
    <x v="7"/>
    <n v="125"/>
    <n v="2.2000000000000002"/>
    <n v="3.2"/>
    <s v="TVA"/>
    <n v="0.28799999999999998"/>
    <n v="3.488"/>
    <n v="275"/>
    <n v="436"/>
    <s v="PROFIT"/>
    <n v="161"/>
    <n v="159.38999999999999"/>
  </r>
  <r>
    <d v="2020-12-15T00:00:00"/>
    <x v="3"/>
    <x v="3"/>
    <x v="1"/>
    <x v="10"/>
    <n v="140"/>
    <n v="2.41"/>
    <n v="3.7"/>
    <s v="TVA"/>
    <n v="0.33300000000000002"/>
    <n v="4.0330000000000004"/>
    <n v="337.40000000000003"/>
    <n v="564.62"/>
    <s v="PROFIT"/>
    <n v="227.21999999999997"/>
    <n v="224.94779999999997"/>
  </r>
  <r>
    <d v="2021-06-09T00:00:00"/>
    <x v="3"/>
    <x v="3"/>
    <x v="1"/>
    <x v="9"/>
    <n v="90"/>
    <n v="2.9"/>
    <n v="5.5"/>
    <s v="TVA"/>
    <n v="0.495"/>
    <n v="5.9950000000000001"/>
    <n v="261"/>
    <n v="539.54999999999995"/>
    <s v="PROFIT"/>
    <n v="278.54999999999995"/>
    <n v="275.76449999999994"/>
  </r>
  <r>
    <d v="2020-05-31T00:00:00"/>
    <x v="3"/>
    <x v="3"/>
    <x v="1"/>
    <x v="11"/>
    <n v="125"/>
    <n v="6.23"/>
    <n v="8"/>
    <s v="TVA"/>
    <n v="0.72"/>
    <n v="8.7200000000000006"/>
    <n v="778.75"/>
    <n v="1090"/>
    <s v="PROFIT"/>
    <n v="311.25"/>
    <n v="308.13749999999999"/>
  </r>
  <r>
    <d v="2021-11-30T00:00:00"/>
    <x v="3"/>
    <x v="3"/>
    <x v="1"/>
    <x v="7"/>
    <n v="250"/>
    <n v="2.2000000000000002"/>
    <n v="3.2"/>
    <s v="TVA"/>
    <n v="0.28799999999999998"/>
    <n v="3.488"/>
    <n v="550"/>
    <n v="872"/>
    <s v="PROFIT"/>
    <n v="322"/>
    <n v="318.77999999999997"/>
  </r>
  <r>
    <d v="2021-04-13T00:00:00"/>
    <x v="2"/>
    <x v="2"/>
    <x v="1"/>
    <x v="9"/>
    <n v="120"/>
    <n v="2.9"/>
    <n v="5.5"/>
    <s v="TVA"/>
    <n v="0.495"/>
    <n v="5.9950000000000001"/>
    <n v="348"/>
    <n v="719.4"/>
    <s v="PROFIT"/>
    <n v="371.4"/>
    <n v="367.68599999999998"/>
  </r>
  <r>
    <d v="2020-08-23T00:00:00"/>
    <x v="3"/>
    <x v="3"/>
    <x v="1"/>
    <x v="8"/>
    <n v="420"/>
    <n v="1.69"/>
    <n v="2.4900000000000002"/>
    <s v="TVA"/>
    <n v="0.22410000000000002"/>
    <n v="2.7141000000000002"/>
    <n v="709.8"/>
    <n v="1139.922"/>
    <s v="PROFIT"/>
    <n v="430.12200000000007"/>
    <n v="425.82078000000007"/>
  </r>
  <r>
    <d v="2021-12-24T00:00:00"/>
    <x v="3"/>
    <x v="3"/>
    <x v="1"/>
    <x v="7"/>
    <n v="340"/>
    <n v="2.2000000000000002"/>
    <n v="3.2"/>
    <s v="TVA"/>
    <n v="0.28799999999999998"/>
    <n v="3.488"/>
    <n v="748.00000000000011"/>
    <n v="1185.92"/>
    <s v="PROFIT"/>
    <n v="437.91999999999996"/>
    <n v="433.54079999999993"/>
  </r>
  <r>
    <d v="2020-07-12T00:00:00"/>
    <x v="3"/>
    <x v="3"/>
    <x v="1"/>
    <x v="10"/>
    <n v="280"/>
    <n v="2.41"/>
    <n v="3.7"/>
    <s v="TVA"/>
    <n v="0.33300000000000002"/>
    <n v="4.0330000000000004"/>
    <n v="674.80000000000007"/>
    <n v="1129.24"/>
    <s v="PROFIT"/>
    <n v="454.43999999999994"/>
    <n v="449.89559999999994"/>
  </r>
  <r>
    <d v="2020-06-18T00:00:00"/>
    <x v="3"/>
    <x v="3"/>
    <x v="1"/>
    <x v="12"/>
    <n v="250"/>
    <n v="1.93"/>
    <n v="3.4899999999999998"/>
    <s v="TVA"/>
    <n v="0.31409999999999999"/>
    <n v="3.8040999999999996"/>
    <n v="482.5"/>
    <n v="951.02499999999986"/>
    <s v="PROFIT"/>
    <n v="468.52499999999986"/>
    <n v="463.83974999999987"/>
  </r>
  <r>
    <d v="2020-07-06T00:00:00"/>
    <x v="1"/>
    <x v="1"/>
    <x v="1"/>
    <x v="10"/>
    <n v="300"/>
    <n v="2.41"/>
    <n v="3.7"/>
    <s v="TVA"/>
    <n v="0.33300000000000002"/>
    <n v="4.0330000000000004"/>
    <n v="723"/>
    <n v="1209.9000000000001"/>
    <s v="PROFIT"/>
    <n v="486.90000000000009"/>
    <n v="482.03100000000006"/>
  </r>
  <r>
    <d v="2020-10-31T00:00:00"/>
    <x v="3"/>
    <x v="3"/>
    <x v="1"/>
    <x v="10"/>
    <n v="300"/>
    <n v="2.41"/>
    <n v="3.7"/>
    <s v="TVA"/>
    <n v="0.33300000000000002"/>
    <n v="4.0330000000000004"/>
    <n v="723"/>
    <n v="1209.9000000000001"/>
    <s v="PROFIT"/>
    <n v="486.90000000000009"/>
    <n v="482.03100000000006"/>
  </r>
  <r>
    <d v="2021-01-20T00:00:00"/>
    <x v="0"/>
    <x v="0"/>
    <x v="1"/>
    <x v="9"/>
    <n v="180"/>
    <n v="2.9"/>
    <n v="5.5"/>
    <s v="TVA"/>
    <n v="0.495"/>
    <n v="5.9950000000000001"/>
    <n v="522"/>
    <n v="1079.0999999999999"/>
    <s v="PROFIT"/>
    <n v="557.09999999999991"/>
    <n v="529.24499999999989"/>
  </r>
  <r>
    <d v="2020-06-12T00:00:00"/>
    <x v="1"/>
    <x v="1"/>
    <x v="1"/>
    <x v="12"/>
    <n v="315"/>
    <n v="1.93"/>
    <n v="3.4899999999999998"/>
    <s v="TVA"/>
    <n v="0.31409999999999999"/>
    <n v="3.8040999999999996"/>
    <n v="607.94999999999993"/>
    <n v="1198.2914999999998"/>
    <s v="PROFIT"/>
    <n v="590.34149999999988"/>
    <n v="560.82442499999991"/>
  </r>
  <r>
    <d v="2020-01-04T00:00:00"/>
    <x v="3"/>
    <x v="3"/>
    <x v="1"/>
    <x v="11"/>
    <n v="270"/>
    <n v="6.23"/>
    <n v="8"/>
    <s v="TVA"/>
    <n v="0.72"/>
    <n v="8.7200000000000006"/>
    <n v="1682.1000000000001"/>
    <n v="2354.4"/>
    <s v="PROFIT"/>
    <n v="672.3"/>
    <n v="638.68499999999995"/>
  </r>
  <r>
    <d v="2020-03-11T00:00:00"/>
    <x v="3"/>
    <x v="3"/>
    <x v="1"/>
    <x v="11"/>
    <n v="310"/>
    <n v="6.23"/>
    <n v="8"/>
    <s v="TVA"/>
    <n v="0.72"/>
    <n v="8.7200000000000006"/>
    <n v="1931.3000000000002"/>
    <n v="2703.2000000000003"/>
    <s v="PROFIT"/>
    <n v="771.90000000000009"/>
    <n v="733.30500000000006"/>
  </r>
  <r>
    <d v="2021-07-24T00:00:00"/>
    <x v="3"/>
    <x v="3"/>
    <x v="1"/>
    <x v="9"/>
    <n v="250"/>
    <n v="2.9"/>
    <n v="5.5"/>
    <s v="TVA"/>
    <n v="0.495"/>
    <n v="5.9950000000000001"/>
    <n v="725"/>
    <n v="1498.75"/>
    <s v="PROFIT"/>
    <n v="773.75"/>
    <n v="735.0625"/>
  </r>
  <r>
    <d v="2020-01-19T00:00:00"/>
    <x v="3"/>
    <x v="3"/>
    <x v="1"/>
    <x v="11"/>
    <n v="390"/>
    <n v="6.23"/>
    <n v="8"/>
    <s v="TVA"/>
    <n v="0.72"/>
    <n v="8.7200000000000006"/>
    <n v="2429.7000000000003"/>
    <n v="3400.8"/>
    <s v="PROFIT"/>
    <n v="971.09999999999991"/>
    <n v="922.54499999999996"/>
  </r>
  <r>
    <d v="2020-04-10T00:00:00"/>
    <x v="0"/>
    <x v="0"/>
    <x v="1"/>
    <x v="11"/>
    <n v="410"/>
    <n v="6.23"/>
    <n v="8"/>
    <s v="TVA"/>
    <n v="0.72"/>
    <n v="8.7200000000000006"/>
    <n v="2554.3000000000002"/>
    <n v="3575.2000000000003"/>
    <s v="PROFIT"/>
    <n v="1020.9000000000001"/>
    <n v="969.85500000000013"/>
  </r>
  <r>
    <d v="2020-05-13T00:00:00"/>
    <x v="2"/>
    <x v="2"/>
    <x v="1"/>
    <x v="11"/>
    <n v="560"/>
    <n v="6.23"/>
    <n v="8"/>
    <s v="TVA"/>
    <n v="0.72"/>
    <n v="8.7200000000000006"/>
    <n v="3488.8"/>
    <n v="4883.2000000000007"/>
    <s v="PROFIT"/>
    <n v="1394.4000000000005"/>
    <n v="1254.9600000000005"/>
  </r>
  <r>
    <d v="2020-02-06T00:00:00"/>
    <x v="3"/>
    <x v="3"/>
    <x v="1"/>
    <x v="11"/>
    <n v="740"/>
    <n v="6.23"/>
    <n v="8"/>
    <s v="TVA"/>
    <n v="0.72"/>
    <n v="8.7200000000000006"/>
    <n v="4610.2000000000007"/>
    <n v="6452.8"/>
    <s v="PROFIT"/>
    <n v="1842.5999999999995"/>
    <n v="1658.3399999999995"/>
  </r>
  <r>
    <d v="2021-11-21T00:00:00"/>
    <x v="1"/>
    <x v="1"/>
    <x v="2"/>
    <x v="13"/>
    <n v="20"/>
    <n v="6"/>
    <n v="5.7"/>
    <s v="TVA"/>
    <n v="0.51300000000000001"/>
    <n v="6.2130000000000001"/>
    <n v="120"/>
    <n v="124.26"/>
    <s v="PROFIT"/>
    <n v="4.2600000000000051"/>
    <n v="4.2600000000000051"/>
  </r>
  <r>
    <d v="2021-10-28T00:00:00"/>
    <x v="0"/>
    <x v="0"/>
    <x v="2"/>
    <x v="13"/>
    <n v="57"/>
    <n v="6"/>
    <n v="5.7"/>
    <s v="TVA"/>
    <n v="0.51300000000000001"/>
    <n v="6.2130000000000001"/>
    <n v="342"/>
    <n v="354.14100000000002"/>
    <s v="PROFIT"/>
    <n v="12.14100000000002"/>
    <n v="12.14100000000002"/>
  </r>
  <r>
    <d v="2020-12-18T00:00:00"/>
    <x v="2"/>
    <x v="2"/>
    <x v="2"/>
    <x v="14"/>
    <n v="44"/>
    <n v="0.42"/>
    <n v="0.67"/>
    <s v="TVA"/>
    <n v="6.0299999999999999E-2"/>
    <n v="0.73030000000000006"/>
    <n v="18.48"/>
    <n v="32.133200000000002"/>
    <s v="PROFIT"/>
    <n v="13.653200000000002"/>
    <n v="13.653200000000002"/>
  </r>
  <r>
    <d v="2021-01-23T00:00:00"/>
    <x v="1"/>
    <x v="1"/>
    <x v="2"/>
    <x v="14"/>
    <n v="56"/>
    <n v="0.42"/>
    <n v="0.67"/>
    <s v="TVA"/>
    <n v="6.0299999999999999E-2"/>
    <n v="0.73030000000000006"/>
    <n v="23.52"/>
    <n v="40.896800000000006"/>
    <s v="PROFIT"/>
    <n v="17.376800000000006"/>
    <n v="17.376800000000006"/>
  </r>
  <r>
    <d v="2021-01-05T00:00:00"/>
    <x v="3"/>
    <x v="3"/>
    <x v="2"/>
    <x v="14"/>
    <n v="63"/>
    <n v="0.42"/>
    <n v="0.67"/>
    <s v="TVA"/>
    <n v="6.0299999999999999E-2"/>
    <n v="0.73030000000000006"/>
    <n v="26.459999999999997"/>
    <n v="46.008900000000004"/>
    <s v="PROFIT"/>
    <n v="19.548900000000007"/>
    <n v="19.548900000000007"/>
  </r>
  <r>
    <d v="2021-02-19T00:00:00"/>
    <x v="3"/>
    <x v="3"/>
    <x v="2"/>
    <x v="14"/>
    <n v="68"/>
    <n v="0.42"/>
    <n v="0.67"/>
    <s v="TVA"/>
    <n v="6.0299999999999999E-2"/>
    <n v="0.73030000000000006"/>
    <n v="28.56"/>
    <n v="49.660400000000003"/>
    <s v="PROFIT"/>
    <n v="21.100400000000004"/>
    <n v="21.100400000000004"/>
  </r>
  <r>
    <d v="2021-03-02T00:00:00"/>
    <x v="0"/>
    <x v="0"/>
    <x v="2"/>
    <x v="14"/>
    <n v="68"/>
    <n v="0.42"/>
    <n v="0.67"/>
    <s v="TVA"/>
    <n v="6.0299999999999999E-2"/>
    <n v="0.73030000000000006"/>
    <n v="28.56"/>
    <n v="49.660400000000003"/>
    <s v="PROFIT"/>
    <n v="21.100400000000004"/>
    <n v="21.100400000000004"/>
  </r>
  <r>
    <d v="2021-06-21T00:00:00"/>
    <x v="1"/>
    <x v="1"/>
    <x v="2"/>
    <x v="15"/>
    <n v="41"/>
    <n v="0.48"/>
    <n v="0.91700000000000004"/>
    <s v="TVA"/>
    <n v="8.2530000000000006E-2"/>
    <n v="0.99953000000000003"/>
    <n v="19.68"/>
    <n v="40.980730000000001"/>
    <s v="PROFIT"/>
    <n v="21.300730000000001"/>
    <n v="21.300730000000001"/>
  </r>
  <r>
    <d v="2021-01-11T00:00:00"/>
    <x v="2"/>
    <x v="2"/>
    <x v="2"/>
    <x v="14"/>
    <n v="77"/>
    <n v="0.42"/>
    <n v="0.67"/>
    <s v="TVA"/>
    <n v="6.0299999999999999E-2"/>
    <n v="0.73030000000000006"/>
    <n v="32.339999999999996"/>
    <n v="56.233100000000007"/>
    <s v="PROFIT"/>
    <n v="23.893100000000011"/>
    <n v="23.893100000000011"/>
  </r>
  <r>
    <d v="2020-11-30T00:00:00"/>
    <x v="0"/>
    <x v="0"/>
    <x v="2"/>
    <x v="14"/>
    <n v="92"/>
    <n v="0.42"/>
    <n v="0.67"/>
    <s v="TVA"/>
    <n v="6.0299999999999999E-2"/>
    <n v="0.73030000000000006"/>
    <n v="38.64"/>
    <n v="67.187600000000003"/>
    <s v="PROFIT"/>
    <n v="28.547600000000003"/>
    <n v="28.547600000000003"/>
  </r>
  <r>
    <d v="2021-11-12T00:00:00"/>
    <x v="2"/>
    <x v="2"/>
    <x v="2"/>
    <x v="13"/>
    <n v="137"/>
    <n v="6"/>
    <n v="5.7"/>
    <s v="TVA"/>
    <n v="0.51300000000000001"/>
    <n v="6.2130000000000001"/>
    <n v="822"/>
    <n v="851.18100000000004"/>
    <s v="PROFIT"/>
    <n v="29.18100000000004"/>
    <n v="29.18100000000004"/>
  </r>
  <r>
    <d v="2021-07-18T00:00:00"/>
    <x v="3"/>
    <x v="3"/>
    <x v="2"/>
    <x v="16"/>
    <n v="22"/>
    <n v="3.28"/>
    <n v="4.2699999999999996"/>
    <s v="TVA"/>
    <n v="0.38429999999999997"/>
    <n v="4.6542999999999992"/>
    <n v="72.16"/>
    <n v="102.39459999999998"/>
    <s v="PROFIT"/>
    <n v="30.234599999999986"/>
    <n v="30.234599999999986"/>
  </r>
  <r>
    <d v="2021-01-17T00:00:00"/>
    <x v="0"/>
    <x v="0"/>
    <x v="2"/>
    <x v="14"/>
    <n v="102"/>
    <n v="0.42"/>
    <n v="0.67"/>
    <s v="TVA"/>
    <n v="6.0299999999999999E-2"/>
    <n v="0.73030000000000006"/>
    <n v="42.839999999999996"/>
    <n v="74.490600000000001"/>
    <s v="PROFIT"/>
    <n v="31.650600000000004"/>
    <n v="31.650600000000004"/>
  </r>
  <r>
    <d v="2021-06-03T00:00:00"/>
    <x v="3"/>
    <x v="3"/>
    <x v="2"/>
    <x v="17"/>
    <n v="27"/>
    <n v="0.86"/>
    <n v="1.87"/>
    <s v="TVA"/>
    <n v="0.16830000000000001"/>
    <n v="2.0383"/>
    <n v="23.22"/>
    <n v="55.034100000000002"/>
    <s v="PROFIT"/>
    <n v="31.814100000000003"/>
    <n v="31.814100000000003"/>
  </r>
  <r>
    <d v="2020-11-03T00:00:00"/>
    <x v="2"/>
    <x v="2"/>
    <x v="2"/>
    <x v="18"/>
    <n v="39"/>
    <n v="1.2"/>
    <n v="1.87"/>
    <s v="TVA"/>
    <n v="0.16830000000000001"/>
    <n v="2.0383"/>
    <n v="46.8"/>
    <n v="79.493700000000004"/>
    <s v="PROFIT"/>
    <n v="32.693700000000007"/>
    <n v="32.693700000000007"/>
  </r>
  <r>
    <d v="2020-10-07T00:00:00"/>
    <x v="2"/>
    <x v="2"/>
    <x v="2"/>
    <x v="18"/>
    <n v="40"/>
    <n v="1.2"/>
    <n v="1.87"/>
    <s v="TVA"/>
    <n v="0.16830000000000001"/>
    <n v="2.0383"/>
    <n v="48"/>
    <n v="81.531999999999996"/>
    <s v="PROFIT"/>
    <n v="33.531999999999996"/>
    <n v="33.531999999999996"/>
  </r>
  <r>
    <d v="2021-07-03T00:00:00"/>
    <x v="2"/>
    <x v="2"/>
    <x v="2"/>
    <x v="15"/>
    <n v="65"/>
    <n v="0.48"/>
    <n v="0.91700000000000004"/>
    <s v="TVA"/>
    <n v="8.2530000000000006E-2"/>
    <n v="0.99953000000000003"/>
    <n v="31.2"/>
    <n v="64.969449999999995"/>
    <s v="PROFIT"/>
    <n v="33.769449999999992"/>
    <n v="33.769449999999992"/>
  </r>
  <r>
    <d v="2021-09-01T00:00:00"/>
    <x v="3"/>
    <x v="3"/>
    <x v="2"/>
    <x v="16"/>
    <n v="25"/>
    <n v="3.28"/>
    <n v="4.2699999999999996"/>
    <s v="TVA"/>
    <n v="0.38429999999999997"/>
    <n v="4.6542999999999992"/>
    <n v="82"/>
    <n v="116.35749999999999"/>
    <s v="PROFIT"/>
    <n v="34.357499999999987"/>
    <n v="34.357499999999987"/>
  </r>
  <r>
    <d v="2021-09-13T00:00:00"/>
    <x v="0"/>
    <x v="0"/>
    <x v="2"/>
    <x v="19"/>
    <n v="30"/>
    <n v="2.91"/>
    <n v="3.77"/>
    <s v="TVA"/>
    <n v="0.33929999999999999"/>
    <n v="4.1093000000000002"/>
    <n v="87.300000000000011"/>
    <n v="123.27900000000001"/>
    <s v="PROFIT"/>
    <n v="35.978999999999999"/>
    <n v="35.978999999999999"/>
  </r>
  <r>
    <d v="2021-04-25T00:00:00"/>
    <x v="3"/>
    <x v="3"/>
    <x v="2"/>
    <x v="20"/>
    <n v="27"/>
    <n v="1.62"/>
    <n v="2.87"/>
    <s v="TVA"/>
    <n v="0.25829999999999997"/>
    <n v="3.1283000000000003"/>
    <n v="43.74"/>
    <n v="84.464100000000002"/>
    <s v="PROFIT"/>
    <n v="40.7241"/>
    <n v="40.7241"/>
  </r>
  <r>
    <d v="2020-04-25T00:00:00"/>
    <x v="0"/>
    <x v="0"/>
    <x v="2"/>
    <x v="21"/>
    <n v="53"/>
    <n v="1.52"/>
    <n v="2.15"/>
    <s v="TVA"/>
    <n v="0.19349999999999998"/>
    <n v="2.3434999999999997"/>
    <n v="80.56"/>
    <n v="124.20549999999999"/>
    <s v="PROFIT"/>
    <n v="43.645499999999984"/>
    <n v="43.645499999999984"/>
  </r>
  <r>
    <d v="2021-06-15T00:00:00"/>
    <x v="0"/>
    <x v="0"/>
    <x v="2"/>
    <x v="17"/>
    <n v="38"/>
    <n v="0.86"/>
    <n v="1.87"/>
    <s v="TVA"/>
    <n v="0.16830000000000001"/>
    <n v="2.0383"/>
    <n v="32.68"/>
    <n v="77.455399999999997"/>
    <s v="PROFIT"/>
    <n v="44.775399999999998"/>
    <n v="44.775399999999998"/>
  </r>
  <r>
    <d v="2021-10-13T00:00:00"/>
    <x v="1"/>
    <x v="1"/>
    <x v="2"/>
    <x v="19"/>
    <n v="40"/>
    <n v="2.91"/>
    <n v="3.77"/>
    <s v="TVA"/>
    <n v="0.33929999999999999"/>
    <n v="4.1093000000000002"/>
    <n v="116.4"/>
    <n v="164.37200000000001"/>
    <s v="PROFIT"/>
    <n v="47.972000000000008"/>
    <n v="47.972000000000008"/>
  </r>
  <r>
    <d v="2020-01-25T00:00:00"/>
    <x v="0"/>
    <x v="0"/>
    <x v="2"/>
    <x v="22"/>
    <n v="100"/>
    <n v="2.2000000000000002"/>
    <n v="2.4700000000000002"/>
    <s v="TVA"/>
    <n v="0.2223"/>
    <n v="2.6923000000000004"/>
    <n v="220.00000000000003"/>
    <n v="269.23"/>
    <s v="PROFIT"/>
    <n v="49.22999999999999"/>
    <n v="49.22999999999999"/>
  </r>
  <r>
    <d v="2020-11-18T00:00:00"/>
    <x v="3"/>
    <x v="3"/>
    <x v="2"/>
    <x v="18"/>
    <n v="66"/>
    <n v="1.2"/>
    <n v="1.87"/>
    <s v="TVA"/>
    <n v="0.16830000000000001"/>
    <n v="2.0383"/>
    <n v="79.2"/>
    <n v="134.52780000000001"/>
    <s v="PROFIT"/>
    <n v="55.327800000000011"/>
    <n v="55.327800000000011"/>
  </r>
  <r>
    <d v="2021-05-07T00:00:00"/>
    <x v="0"/>
    <x v="0"/>
    <x v="2"/>
    <x v="17"/>
    <n v="47"/>
    <n v="0.86"/>
    <n v="1.87"/>
    <s v="TVA"/>
    <n v="0.16830000000000001"/>
    <n v="2.0383"/>
    <n v="40.42"/>
    <n v="95.8001"/>
    <s v="PROFIT"/>
    <n v="55.380099999999999"/>
    <n v="55.380099999999999"/>
  </r>
  <r>
    <d v="2021-08-26T00:00:00"/>
    <x v="1"/>
    <x v="1"/>
    <x v="2"/>
    <x v="16"/>
    <n v="41"/>
    <n v="3.28"/>
    <n v="4.2699999999999996"/>
    <s v="TVA"/>
    <n v="0.38429999999999997"/>
    <n v="4.6542999999999992"/>
    <n v="134.47999999999999"/>
    <n v="190.82629999999997"/>
    <s v="PROFIT"/>
    <n v="56.346299999999985"/>
    <n v="56.346299999999985"/>
  </r>
  <r>
    <d v="2021-09-19T00:00:00"/>
    <x v="1"/>
    <x v="1"/>
    <x v="2"/>
    <x v="19"/>
    <n v="49"/>
    <n v="2.91"/>
    <n v="3.77"/>
    <s v="TVA"/>
    <n v="0.33929999999999999"/>
    <n v="4.1093000000000002"/>
    <n v="142.59"/>
    <n v="201.35570000000001"/>
    <s v="PROFIT"/>
    <n v="58.76570000000001"/>
    <n v="58.76570000000001"/>
  </r>
  <r>
    <d v="2021-12-27T00:00:00"/>
    <x v="2"/>
    <x v="2"/>
    <x v="2"/>
    <x v="13"/>
    <n v="300"/>
    <n v="6"/>
    <n v="5.7"/>
    <s v="TVA"/>
    <n v="0.51300000000000001"/>
    <n v="6.2130000000000001"/>
    <n v="1800"/>
    <n v="1863.9"/>
    <s v="PROFIT"/>
    <n v="63.900000000000091"/>
    <n v="63.900000000000091"/>
  </r>
  <r>
    <d v="2020-10-01T00:00:00"/>
    <x v="3"/>
    <x v="3"/>
    <x v="2"/>
    <x v="18"/>
    <n v="77"/>
    <n v="1.2"/>
    <n v="1.87"/>
    <s v="TVA"/>
    <n v="0.16830000000000001"/>
    <n v="2.0383"/>
    <n v="92.399999999999991"/>
    <n v="156.94909999999999"/>
    <s v="PROFIT"/>
    <n v="64.549099999999996"/>
    <n v="64.549099999999996"/>
  </r>
  <r>
    <d v="2020-03-26T00:00:00"/>
    <x v="3"/>
    <x v="3"/>
    <x v="2"/>
    <x v="23"/>
    <n v="103"/>
    <n v="0.31"/>
    <n v="0.87"/>
    <s v="TVA"/>
    <n v="7.8299999999999995E-2"/>
    <n v="0.94830000000000003"/>
    <n v="31.93"/>
    <n v="97.674900000000008"/>
    <s v="PROFIT"/>
    <n v="65.744900000000001"/>
    <n v="65.744900000000001"/>
  </r>
  <r>
    <d v="2021-05-16T00:00:00"/>
    <x v="3"/>
    <x v="3"/>
    <x v="2"/>
    <x v="17"/>
    <n v="58"/>
    <n v="0.86"/>
    <n v="1.87"/>
    <s v="TVA"/>
    <n v="0.16830000000000001"/>
    <n v="2.0383"/>
    <n v="49.88"/>
    <n v="118.2214"/>
    <s v="PROFIT"/>
    <n v="68.341399999999993"/>
    <n v="68.341399999999993"/>
  </r>
  <r>
    <d v="2021-09-07T00:00:00"/>
    <x v="2"/>
    <x v="2"/>
    <x v="2"/>
    <x v="16"/>
    <n v="50"/>
    <n v="3.28"/>
    <n v="4.2699999999999996"/>
    <s v="TVA"/>
    <n v="0.38429999999999997"/>
    <n v="4.6542999999999992"/>
    <n v="164"/>
    <n v="232.71499999999997"/>
    <s v="PROFIT"/>
    <n v="68.714999999999975"/>
    <n v="68.714999999999975"/>
  </r>
  <r>
    <d v="2021-04-16T00:00:00"/>
    <x v="0"/>
    <x v="0"/>
    <x v="2"/>
    <x v="20"/>
    <n v="48"/>
    <n v="1.62"/>
    <n v="2.87"/>
    <s v="TVA"/>
    <n v="0.25829999999999997"/>
    <n v="3.1283000000000003"/>
    <n v="77.760000000000005"/>
    <n v="150.15840000000003"/>
    <s v="PROFIT"/>
    <n v="72.398400000000024"/>
    <n v="72.398400000000024"/>
  </r>
  <r>
    <d v="2020-11-09T00:00:00"/>
    <x v="0"/>
    <x v="0"/>
    <x v="2"/>
    <x v="18"/>
    <n v="90"/>
    <n v="1.2"/>
    <n v="1.87"/>
    <s v="TVA"/>
    <n v="0.16830000000000001"/>
    <n v="2.0383"/>
    <n v="108"/>
    <n v="183.447"/>
    <s v="PROFIT"/>
    <n v="75.447000000000003"/>
    <n v="75.447000000000003"/>
  </r>
  <r>
    <d v="2021-08-11T00:00:00"/>
    <x v="3"/>
    <x v="3"/>
    <x v="2"/>
    <x v="16"/>
    <n v="55"/>
    <n v="3.28"/>
    <n v="4.2699999999999996"/>
    <s v="TVA"/>
    <n v="0.38429999999999997"/>
    <n v="4.6542999999999992"/>
    <n v="180.39999999999998"/>
    <n v="255.98649999999995"/>
    <s v="PROFIT"/>
    <n v="75.586499999999972"/>
    <n v="75.586499999999972"/>
  </r>
  <r>
    <d v="2021-10-25T00:00:00"/>
    <x v="2"/>
    <x v="2"/>
    <x v="2"/>
    <x v="13"/>
    <n v="355"/>
    <n v="6"/>
    <n v="5.7"/>
    <s v="TVA"/>
    <n v="0.51300000000000001"/>
    <n v="6.2130000000000001"/>
    <n v="2130"/>
    <n v="2205.6150000000002"/>
    <s v="PROFIT"/>
    <n v="75.615000000000236"/>
    <n v="75.615000000000236"/>
  </r>
  <r>
    <d v="2021-12-09T00:00:00"/>
    <x v="0"/>
    <x v="0"/>
    <x v="2"/>
    <x v="13"/>
    <n v="385"/>
    <n v="6"/>
    <n v="5.7"/>
    <s v="TVA"/>
    <n v="0.51300000000000001"/>
    <n v="6.2130000000000001"/>
    <n v="2310"/>
    <n v="2392.0050000000001"/>
    <s v="PROFIT"/>
    <n v="82.005000000000109"/>
    <n v="82.005000000000109"/>
  </r>
  <r>
    <d v="2021-03-26T00:00:00"/>
    <x v="0"/>
    <x v="0"/>
    <x v="2"/>
    <x v="20"/>
    <n v="57"/>
    <n v="1.62"/>
    <n v="2.87"/>
    <s v="TVA"/>
    <n v="0.25829999999999997"/>
    <n v="3.1283000000000003"/>
    <n v="92.34"/>
    <n v="178.31310000000002"/>
    <s v="PROFIT"/>
    <n v="85.973100000000017"/>
    <n v="85.973100000000017"/>
  </r>
  <r>
    <d v="2021-06-12T00:00:00"/>
    <x v="2"/>
    <x v="2"/>
    <x v="2"/>
    <x v="17"/>
    <n v="73"/>
    <n v="0.86"/>
    <n v="1.87"/>
    <s v="TVA"/>
    <n v="0.16830000000000001"/>
    <n v="2.0383"/>
    <n v="62.78"/>
    <n v="148.79589999999999"/>
    <s v="PROFIT"/>
    <n v="86.015899999999988"/>
    <n v="86.015899999999988"/>
  </r>
  <r>
    <d v="2020-05-04T00:00:00"/>
    <x v="3"/>
    <x v="3"/>
    <x v="2"/>
    <x v="21"/>
    <n v="105"/>
    <n v="1.52"/>
    <n v="2.15"/>
    <s v="TVA"/>
    <n v="0.19349999999999998"/>
    <n v="2.3434999999999997"/>
    <n v="159.6"/>
    <n v="246.06749999999997"/>
    <s v="PROFIT"/>
    <n v="86.467499999999973"/>
    <n v="86.467499999999973"/>
  </r>
  <r>
    <d v="2021-12-03T00:00:00"/>
    <x v="2"/>
    <x v="2"/>
    <x v="2"/>
    <x v="13"/>
    <n v="420"/>
    <n v="6"/>
    <n v="5.7"/>
    <s v="TVA"/>
    <n v="0.51300000000000001"/>
    <n v="6.2130000000000001"/>
    <n v="2520"/>
    <n v="2609.46"/>
    <s v="PROFIT"/>
    <n v="89.460000000000036"/>
    <n v="89.460000000000036"/>
  </r>
  <r>
    <d v="2020-12-09T00:00:00"/>
    <x v="3"/>
    <x v="3"/>
    <x v="2"/>
    <x v="14"/>
    <n v="305"/>
    <n v="0.42"/>
    <n v="0.67"/>
    <s v="TVA"/>
    <n v="6.0299999999999999E-2"/>
    <n v="0.73030000000000006"/>
    <n v="128.1"/>
    <n v="222.74150000000003"/>
    <s v="PROFIT"/>
    <n v="94.641500000000036"/>
    <n v="94.641500000000036"/>
  </r>
  <r>
    <d v="2020-08-29T00:00:00"/>
    <x v="0"/>
    <x v="0"/>
    <x v="2"/>
    <x v="24"/>
    <n v="75"/>
    <n v="3.29"/>
    <n v="4.21"/>
    <s v="TVA"/>
    <n v="0.37889999999999996"/>
    <n v="4.5888999999999998"/>
    <n v="246.75"/>
    <n v="344.16749999999996"/>
    <s v="PROFIT"/>
    <n v="97.417499999999961"/>
    <n v="97.417499999999961"/>
  </r>
  <r>
    <d v="2021-05-25T00:00:00"/>
    <x v="0"/>
    <x v="0"/>
    <x v="2"/>
    <x v="17"/>
    <n v="84"/>
    <n v="0.86"/>
    <n v="1.87"/>
    <s v="TVA"/>
    <n v="0.16830000000000001"/>
    <n v="2.0383"/>
    <n v="72.239999999999995"/>
    <n v="171.21719999999999"/>
    <s v="PROFIT"/>
    <n v="98.977199999999996"/>
    <n v="98.977199999999996"/>
  </r>
  <r>
    <d v="2021-02-10T00:00:00"/>
    <x v="0"/>
    <x v="0"/>
    <x v="2"/>
    <x v="14"/>
    <n v="340"/>
    <n v="0.42"/>
    <n v="0.67"/>
    <s v="TVA"/>
    <n v="6.0299999999999999E-2"/>
    <n v="0.73030000000000006"/>
    <n v="142.79999999999998"/>
    <n v="248.30200000000002"/>
    <s v="PROFIT"/>
    <n v="105.50200000000004"/>
    <n v="104.44698000000004"/>
  </r>
  <r>
    <d v="2020-10-16T00:00:00"/>
    <x v="0"/>
    <x v="0"/>
    <x v="2"/>
    <x v="18"/>
    <n v="141"/>
    <n v="1.2"/>
    <n v="1.87"/>
    <s v="TVA"/>
    <n v="0.16830000000000001"/>
    <n v="2.0383"/>
    <n v="169.2"/>
    <n v="287.40030000000002"/>
    <s v="PROFIT"/>
    <n v="118.20030000000003"/>
    <n v="117.01829700000003"/>
  </r>
  <r>
    <d v="2021-03-08T00:00:00"/>
    <x v="1"/>
    <x v="1"/>
    <x v="2"/>
    <x v="20"/>
    <n v="86"/>
    <n v="1.62"/>
    <n v="2.87"/>
    <s v="TVA"/>
    <n v="0.25829999999999997"/>
    <n v="3.1283000000000003"/>
    <n v="139.32000000000002"/>
    <n v="269.03380000000004"/>
    <s v="PROFIT"/>
    <n v="129.71380000000002"/>
    <n v="128.41666200000003"/>
  </r>
  <r>
    <d v="2021-07-15T00:00:00"/>
    <x v="1"/>
    <x v="1"/>
    <x v="2"/>
    <x v="15"/>
    <n v="260"/>
    <n v="0.48"/>
    <n v="0.91700000000000004"/>
    <s v="TVA"/>
    <n v="8.2530000000000006E-2"/>
    <n v="0.99953000000000003"/>
    <n v="124.8"/>
    <n v="259.87779999999998"/>
    <s v="PROFIT"/>
    <n v="135.07779999999997"/>
    <n v="133.72702199999998"/>
  </r>
  <r>
    <d v="2021-04-10T00:00:00"/>
    <x v="2"/>
    <x v="2"/>
    <x v="2"/>
    <x v="20"/>
    <n v="90"/>
    <n v="1.62"/>
    <n v="2.87"/>
    <s v="TVA"/>
    <n v="0.25829999999999997"/>
    <n v="3.1283000000000003"/>
    <n v="145.80000000000001"/>
    <n v="281.54700000000003"/>
    <s v="PROFIT"/>
    <n v="135.74700000000001"/>
    <n v="134.38953000000001"/>
  </r>
  <r>
    <d v="2020-08-20T00:00:00"/>
    <x v="3"/>
    <x v="3"/>
    <x v="2"/>
    <x v="24"/>
    <n v="109"/>
    <n v="3.29"/>
    <n v="4.21"/>
    <s v="TVA"/>
    <n v="0.37889999999999996"/>
    <n v="4.5888999999999998"/>
    <n v="358.61"/>
    <n v="500.19009999999997"/>
    <s v="PROFIT"/>
    <n v="141.58009999999996"/>
    <n v="140.16429899999997"/>
  </r>
  <r>
    <d v="2021-06-24T00:00:00"/>
    <x v="3"/>
    <x v="3"/>
    <x v="2"/>
    <x v="15"/>
    <n v="275"/>
    <n v="0.48"/>
    <n v="0.91700000000000004"/>
    <s v="TVA"/>
    <n v="8.2530000000000006E-2"/>
    <n v="0.99953000000000003"/>
    <n v="132"/>
    <n v="274.87074999999999"/>
    <s v="PROFIT"/>
    <n v="142.87074999999999"/>
    <n v="141.44204249999999"/>
  </r>
  <r>
    <d v="2020-06-27T00:00:00"/>
    <x v="0"/>
    <x v="0"/>
    <x v="2"/>
    <x v="24"/>
    <n v="110"/>
    <n v="3.29"/>
    <n v="4.21"/>
    <s v="TVA"/>
    <n v="0.37889999999999996"/>
    <n v="4.5888999999999998"/>
    <n v="361.9"/>
    <n v="504.779"/>
    <s v="PROFIT"/>
    <n v="142.87900000000002"/>
    <n v="141.45021000000003"/>
  </r>
  <r>
    <d v="2021-03-20T00:00:00"/>
    <x v="2"/>
    <x v="2"/>
    <x v="2"/>
    <x v="20"/>
    <n v="103"/>
    <n v="1.62"/>
    <n v="2.87"/>
    <s v="TVA"/>
    <n v="0.25829999999999997"/>
    <n v="3.1283000000000003"/>
    <n v="166.86"/>
    <n v="322.21490000000006"/>
    <s v="PROFIT"/>
    <n v="155.35490000000004"/>
    <n v="153.80135100000004"/>
  </r>
  <r>
    <d v="2021-01-29T00:00:00"/>
    <x v="3"/>
    <x v="3"/>
    <x v="2"/>
    <x v="14"/>
    <n v="515"/>
    <n v="0.42"/>
    <n v="0.67"/>
    <s v="TVA"/>
    <n v="6.0299999999999999E-2"/>
    <n v="0.73030000000000006"/>
    <n v="216.29999999999998"/>
    <n v="376.10450000000003"/>
    <s v="PROFIT"/>
    <n v="159.80450000000005"/>
    <n v="158.20645500000003"/>
  </r>
  <r>
    <d v="2020-02-12T00:00:00"/>
    <x v="0"/>
    <x v="0"/>
    <x v="2"/>
    <x v="22"/>
    <n v="325"/>
    <n v="2.2000000000000002"/>
    <n v="2.4700000000000002"/>
    <s v="TVA"/>
    <n v="0.2223"/>
    <n v="2.6923000000000004"/>
    <n v="715.00000000000011"/>
    <n v="874.99750000000017"/>
    <s v="PROFIT"/>
    <n v="159.99750000000006"/>
    <n v="158.39752500000006"/>
  </r>
  <r>
    <d v="2020-01-01T00:00:00"/>
    <x v="3"/>
    <x v="3"/>
    <x v="2"/>
    <x v="22"/>
    <n v="330"/>
    <n v="2.2000000000000002"/>
    <n v="2.4700000000000002"/>
    <s v="TVA"/>
    <n v="0.2223"/>
    <n v="2.6923000000000004"/>
    <n v="726.00000000000011"/>
    <n v="888.45900000000017"/>
    <s v="PROFIT"/>
    <n v="162.45900000000006"/>
    <n v="160.83441000000005"/>
  </r>
  <r>
    <d v="2020-04-22T00:00:00"/>
    <x v="2"/>
    <x v="2"/>
    <x v="2"/>
    <x v="21"/>
    <n v="205"/>
    <n v="1.52"/>
    <n v="2.15"/>
    <s v="TVA"/>
    <n v="0.19349999999999998"/>
    <n v="2.3434999999999997"/>
    <n v="311.60000000000002"/>
    <n v="480.41749999999996"/>
    <s v="PROFIT"/>
    <n v="168.81749999999994"/>
    <n v="167.12932499999994"/>
  </r>
  <r>
    <d v="2020-10-22T00:00:00"/>
    <x v="1"/>
    <x v="1"/>
    <x v="2"/>
    <x v="18"/>
    <n v="205"/>
    <n v="1.2"/>
    <n v="1.87"/>
    <s v="TVA"/>
    <n v="0.16830000000000001"/>
    <n v="2.0383"/>
    <n v="246"/>
    <n v="417.85149999999999"/>
    <s v="PROFIT"/>
    <n v="171.85149999999999"/>
    <n v="170.13298499999999"/>
  </r>
  <r>
    <d v="2020-09-16T00:00:00"/>
    <x v="2"/>
    <x v="2"/>
    <x v="2"/>
    <x v="24"/>
    <n v="133"/>
    <n v="3.29"/>
    <n v="4.21"/>
    <s v="TVA"/>
    <n v="0.37889999999999996"/>
    <n v="4.5888999999999998"/>
    <n v="437.57"/>
    <n v="610.32369999999992"/>
    <s v="PROFIT"/>
    <n v="172.75369999999992"/>
    <n v="171.02616299999991"/>
  </r>
  <r>
    <d v="2020-07-09T00:00:00"/>
    <x v="3"/>
    <x v="3"/>
    <x v="2"/>
    <x v="24"/>
    <n v="136"/>
    <n v="3.29"/>
    <n v="4.21"/>
    <s v="TVA"/>
    <n v="0.37889999999999996"/>
    <n v="4.5888999999999998"/>
    <n v="447.44"/>
    <n v="624.09039999999993"/>
    <s v="PROFIT"/>
    <n v="176.65039999999993"/>
    <n v="174.88389599999994"/>
  </r>
  <r>
    <d v="2021-11-06T00:00:00"/>
    <x v="3"/>
    <x v="3"/>
    <x v="2"/>
    <x v="13"/>
    <n v="835"/>
    <n v="6"/>
    <n v="5.7"/>
    <s v="TVA"/>
    <n v="0.51300000000000001"/>
    <n v="6.2130000000000001"/>
    <n v="5010"/>
    <n v="5187.8550000000005"/>
    <s v="PROFIT"/>
    <n v="177.85500000000047"/>
    <n v="176.07645000000048"/>
  </r>
  <r>
    <d v="2021-04-01T00:00:00"/>
    <x v="1"/>
    <x v="1"/>
    <x v="2"/>
    <x v="20"/>
    <n v="118"/>
    <n v="1.62"/>
    <n v="2.87"/>
    <s v="TVA"/>
    <n v="0.25829999999999997"/>
    <n v="3.1283000000000003"/>
    <n v="191.16000000000003"/>
    <n v="369.13940000000002"/>
    <s v="PROFIT"/>
    <n v="177.9794"/>
    <n v="176.19960599999999"/>
  </r>
  <r>
    <d v="2020-09-10T00:00:00"/>
    <x v="3"/>
    <x v="3"/>
    <x v="2"/>
    <x v="24"/>
    <n v="143"/>
    <n v="3.29"/>
    <n v="4.21"/>
    <s v="TVA"/>
    <n v="0.37889999999999996"/>
    <n v="4.5888999999999998"/>
    <n v="470.47"/>
    <n v="656.21269999999993"/>
    <s v="PROFIT"/>
    <n v="185.7426999999999"/>
    <n v="183.8852729999999"/>
  </r>
  <r>
    <d v="2020-05-10T00:00:00"/>
    <x v="2"/>
    <x v="2"/>
    <x v="2"/>
    <x v="21"/>
    <n v="250"/>
    <n v="1.52"/>
    <n v="2.15"/>
    <s v="TVA"/>
    <n v="0.19349999999999998"/>
    <n v="2.3434999999999997"/>
    <n v="380"/>
    <n v="585.87499999999989"/>
    <s v="PROFIT"/>
    <n v="205.87499999999989"/>
    <n v="203.81624999999988"/>
  </r>
  <r>
    <d v="2020-02-09T00:00:00"/>
    <x v="2"/>
    <x v="2"/>
    <x v="2"/>
    <x v="22"/>
    <n v="440"/>
    <n v="2.2000000000000002"/>
    <n v="2.4700000000000002"/>
    <s v="TVA"/>
    <n v="0.2223"/>
    <n v="2.6923000000000004"/>
    <n v="968.00000000000011"/>
    <n v="1184.6120000000001"/>
    <s v="PROFIT"/>
    <n v="216.61199999999997"/>
    <n v="214.44587999999996"/>
  </r>
  <r>
    <d v="2020-03-17T00:00:00"/>
    <x v="0"/>
    <x v="0"/>
    <x v="2"/>
    <x v="23"/>
    <n v="380"/>
    <n v="0.31"/>
    <n v="0.87"/>
    <s v="TVA"/>
    <n v="7.8299999999999995E-2"/>
    <n v="0.94830000000000003"/>
    <n v="117.8"/>
    <n v="360.35399999999998"/>
    <s v="PROFIT"/>
    <n v="242.55399999999997"/>
    <n v="240.12845999999996"/>
  </r>
  <r>
    <d v="2020-01-22T00:00:00"/>
    <x v="2"/>
    <x v="2"/>
    <x v="2"/>
    <x v="22"/>
    <n v="510"/>
    <n v="2.2000000000000002"/>
    <n v="2.4700000000000002"/>
    <s v="TVA"/>
    <n v="0.2223"/>
    <n v="2.6923000000000004"/>
    <n v="1122"/>
    <n v="1373.0730000000001"/>
    <s v="PROFIT"/>
    <n v="251.07300000000009"/>
    <n v="248.5622700000001"/>
  </r>
  <r>
    <d v="2020-11-24T00:00:00"/>
    <x v="2"/>
    <x v="2"/>
    <x v="2"/>
    <x v="18"/>
    <n v="300"/>
    <n v="1.2"/>
    <n v="1.87"/>
    <s v="TVA"/>
    <n v="0.16830000000000001"/>
    <n v="2.0383"/>
    <n v="360"/>
    <n v="611.49"/>
    <s v="PROFIT"/>
    <n v="251.49"/>
    <n v="248.9751"/>
  </r>
  <r>
    <d v="2020-01-16T00:00:00"/>
    <x v="3"/>
    <x v="3"/>
    <x v="2"/>
    <x v="22"/>
    <n v="540"/>
    <n v="2.2000000000000002"/>
    <n v="2.4700000000000002"/>
    <s v="TVA"/>
    <n v="0.2223"/>
    <n v="2.6923000000000004"/>
    <n v="1188"/>
    <n v="1453.8420000000001"/>
    <s v="PROFIT"/>
    <n v="265.8420000000001"/>
    <n v="263.18358000000012"/>
  </r>
  <r>
    <d v="2020-02-24T00:00:00"/>
    <x v="2"/>
    <x v="2"/>
    <x v="2"/>
    <x v="23"/>
    <n v="420"/>
    <n v="0.31"/>
    <n v="0.87"/>
    <s v="TVA"/>
    <n v="7.8299999999999995E-2"/>
    <n v="0.94830000000000003"/>
    <n v="130.19999999999999"/>
    <n v="398.286"/>
    <s v="PROFIT"/>
    <n v="268.08600000000001"/>
    <n v="265.40514000000002"/>
  </r>
  <r>
    <d v="2020-09-25T00:00:00"/>
    <x v="1"/>
    <x v="1"/>
    <x v="2"/>
    <x v="18"/>
    <n v="335"/>
    <n v="1.2"/>
    <n v="1.87"/>
    <s v="TVA"/>
    <n v="0.16830000000000001"/>
    <n v="2.0383"/>
    <n v="402"/>
    <n v="682.83050000000003"/>
    <s v="PROFIT"/>
    <n v="280.83050000000003"/>
    <n v="278.02219500000001"/>
  </r>
  <r>
    <d v="2020-04-16T00:00:00"/>
    <x v="3"/>
    <x v="3"/>
    <x v="2"/>
    <x v="23"/>
    <n v="485"/>
    <n v="0.31"/>
    <n v="0.87"/>
    <s v="TVA"/>
    <n v="7.8299999999999995E-2"/>
    <n v="0.94830000000000003"/>
    <n v="150.35"/>
    <n v="459.9255"/>
    <s v="PROFIT"/>
    <n v="309.57550000000003"/>
    <n v="306.47974500000004"/>
  </r>
  <r>
    <d v="2020-08-08T00:00:00"/>
    <x v="0"/>
    <x v="0"/>
    <x v="2"/>
    <x v="24"/>
    <n v="245"/>
    <n v="3.29"/>
    <n v="4.21"/>
    <s v="TVA"/>
    <n v="0.37889999999999996"/>
    <n v="4.5888999999999998"/>
    <n v="806.05"/>
    <n v="1124.2804999999998"/>
    <s v="PROFIT"/>
    <n v="318.23049999999989"/>
    <n v="315.04819499999991"/>
  </r>
  <r>
    <d v="2020-06-09T00:00:00"/>
    <x v="1"/>
    <x v="1"/>
    <x v="2"/>
    <x v="21"/>
    <n v="425"/>
    <n v="1.52"/>
    <n v="2.15"/>
    <s v="TVA"/>
    <n v="0.19349999999999998"/>
    <n v="2.3434999999999997"/>
    <n v="646"/>
    <n v="995.98749999999984"/>
    <s v="PROFIT"/>
    <n v="349.98749999999984"/>
    <n v="346.48762499999987"/>
  </r>
  <r>
    <d v="2020-04-01T00:00:00"/>
    <x v="2"/>
    <x v="2"/>
    <x v="2"/>
    <x v="23"/>
    <n v="580"/>
    <n v="0.31"/>
    <n v="0.87"/>
    <s v="TVA"/>
    <n v="7.8299999999999995E-2"/>
    <n v="0.94830000000000003"/>
    <n v="179.8"/>
    <n v="550.01400000000001"/>
    <s v="PROFIT"/>
    <n v="370.214"/>
    <n v="366.51186000000001"/>
  </r>
  <r>
    <d v="2021-09-25T00:00:00"/>
    <x v="3"/>
    <x v="3"/>
    <x v="2"/>
    <x v="19"/>
    <n v="315"/>
    <n v="2.91"/>
    <n v="3.77"/>
    <s v="TVA"/>
    <n v="0.33929999999999999"/>
    <n v="4.1093000000000002"/>
    <n v="916.65000000000009"/>
    <n v="1294.4295"/>
    <s v="PROFIT"/>
    <n v="377.77949999999987"/>
    <n v="374.00170499999984"/>
  </r>
  <r>
    <d v="2020-03-08T00:00:00"/>
    <x v="3"/>
    <x v="3"/>
    <x v="2"/>
    <x v="23"/>
    <n v="610"/>
    <n v="0.31"/>
    <n v="0.87"/>
    <s v="TVA"/>
    <n v="7.8299999999999995E-2"/>
    <n v="0.94830000000000003"/>
    <n v="189.1"/>
    <n v="578.46299999999997"/>
    <s v="PROFIT"/>
    <n v="389.36299999999994"/>
    <n v="385.46936999999997"/>
  </r>
  <r>
    <d v="2020-06-21T00:00:00"/>
    <x v="2"/>
    <x v="2"/>
    <x v="2"/>
    <x v="24"/>
    <n v="306"/>
    <n v="3.29"/>
    <n v="4.21"/>
    <s v="TVA"/>
    <n v="0.37889999999999996"/>
    <n v="4.5888999999999998"/>
    <n v="1006.74"/>
    <n v="1404.2033999999999"/>
    <s v="PROFIT"/>
    <n v="397.46339999999987"/>
    <n v="393.48876599999988"/>
  </r>
  <r>
    <d v="2021-08-17T00:00:00"/>
    <x v="2"/>
    <x v="2"/>
    <x v="2"/>
    <x v="16"/>
    <n v="340"/>
    <n v="3.28"/>
    <n v="4.2699999999999996"/>
    <s v="TVA"/>
    <n v="0.38429999999999997"/>
    <n v="4.6542999999999992"/>
    <n v="1115.2"/>
    <n v="1582.4619999999998"/>
    <s v="PROFIT"/>
    <n v="467.26199999999972"/>
    <n v="462.58937999999972"/>
  </r>
  <r>
    <d v="2020-05-28T00:00:00"/>
    <x v="3"/>
    <x v="3"/>
    <x v="2"/>
    <x v="21"/>
    <n v="580"/>
    <n v="1.52"/>
    <n v="2.15"/>
    <s v="TVA"/>
    <n v="0.19349999999999998"/>
    <n v="2.3434999999999997"/>
    <n v="881.6"/>
    <n v="1359.2299999999998"/>
    <s v="PROFIT"/>
    <n v="477.62999999999977"/>
    <n v="472.85369999999978"/>
  </r>
  <r>
    <d v="2020-05-16T00:00:00"/>
    <x v="0"/>
    <x v="0"/>
    <x v="2"/>
    <x v="21"/>
    <n v="610"/>
    <n v="1.52"/>
    <n v="2.15"/>
    <s v="TVA"/>
    <n v="0.19349999999999998"/>
    <n v="2.3434999999999997"/>
    <n v="927.2"/>
    <n v="1429.5349999999999"/>
    <s v="PROFIT"/>
    <n v="502.33499999999981"/>
    <n v="477.21824999999984"/>
  </r>
  <r>
    <d v="2021-10-01T00:00:00"/>
    <x v="2"/>
    <x v="2"/>
    <x v="2"/>
    <x v="19"/>
    <n v="435"/>
    <n v="2.91"/>
    <n v="3.77"/>
    <s v="TVA"/>
    <n v="0.33929999999999999"/>
    <n v="4.1093000000000002"/>
    <n v="1265.8500000000001"/>
    <n v="1787.5455000000002"/>
    <s v="PROFIT"/>
    <n v="521.69550000000004"/>
    <n v="495.61072500000006"/>
  </r>
  <r>
    <d v="2021-10-19T00:00:00"/>
    <x v="3"/>
    <x v="3"/>
    <x v="2"/>
    <x v="19"/>
    <n v="435"/>
    <n v="2.91"/>
    <n v="3.77"/>
    <s v="TVA"/>
    <n v="0.33929999999999999"/>
    <n v="4.1093000000000002"/>
    <n v="1265.8500000000001"/>
    <n v="1787.5455000000002"/>
    <s v="PROFIT"/>
    <n v="521.69550000000004"/>
    <n v="495.61072500000006"/>
  </r>
  <r>
    <d v="2021-08-20T00:00:00"/>
    <x v="0"/>
    <x v="0"/>
    <x v="2"/>
    <x v="16"/>
    <n v="395"/>
    <n v="3.28"/>
    <n v="4.2699999999999996"/>
    <s v="TVA"/>
    <n v="0.38429999999999997"/>
    <n v="4.6542999999999992"/>
    <n v="1295.5999999999999"/>
    <n v="1838.4484999999997"/>
    <s v="PROFIT"/>
    <n v="542.84849999999983"/>
    <n v="515.70607499999983"/>
  </r>
  <r>
    <d v="2020-04-07T00:00:00"/>
    <x v="0"/>
    <x v="0"/>
    <x v="2"/>
    <x v="23"/>
    <n v="915"/>
    <n v="0.31"/>
    <n v="0.87"/>
    <s v="TVA"/>
    <n v="7.8299999999999995E-2"/>
    <n v="0.94830000000000003"/>
    <n v="283.64999999999998"/>
    <n v="867.69450000000006"/>
    <s v="PROFIT"/>
    <n v="584.04450000000008"/>
    <n v="554.84227500000009"/>
  </r>
  <r>
    <d v="2020-09-04T00:00:00"/>
    <x v="1"/>
    <x v="1"/>
    <x v="2"/>
    <x v="24"/>
    <n v="450"/>
    <n v="3.29"/>
    <n v="4.21"/>
    <s v="TVA"/>
    <n v="0.37889999999999996"/>
    <n v="4.5888999999999998"/>
    <n v="1480.5"/>
    <n v="2065.0050000000001"/>
    <s v="PROFIT"/>
    <n v="584.50500000000011"/>
    <n v="555.27975000000015"/>
  </r>
  <r>
    <d v="2020-06-15T00:00:00"/>
    <x v="3"/>
    <x v="3"/>
    <x v="2"/>
    <x v="21"/>
    <n v="755"/>
    <n v="1.52"/>
    <n v="2.15"/>
    <s v="TVA"/>
    <n v="0.19349999999999998"/>
    <n v="2.3434999999999997"/>
    <n v="1147.5999999999999"/>
    <n v="1769.3424999999997"/>
    <s v="PROFIT"/>
    <n v="621.74249999999984"/>
    <n v="590.65537499999982"/>
  </r>
  <r>
    <d v="2020-07-24T00:00:00"/>
    <x v="1"/>
    <x v="1"/>
    <x v="2"/>
    <x v="24"/>
    <n v="516"/>
    <n v="3.29"/>
    <n v="4.21"/>
    <s v="TVA"/>
    <n v="0.37889999999999996"/>
    <n v="4.5888999999999998"/>
    <n v="1697.64"/>
    <n v="2367.8723999999997"/>
    <s v="PROFIT"/>
    <n v="670.23239999999964"/>
    <n v="636.72077999999965"/>
  </r>
  <r>
    <d v="2020-07-03T00:00:00"/>
    <x v="1"/>
    <x v="1"/>
    <x v="2"/>
    <x v="24"/>
    <n v="520"/>
    <n v="3.29"/>
    <n v="4.21"/>
    <s v="TVA"/>
    <n v="0.37889999999999996"/>
    <n v="4.5888999999999998"/>
    <n v="1710.8"/>
    <n v="2386.2280000000001"/>
    <s v="PROFIT"/>
    <n v="675.42800000000011"/>
    <n v="641.65660000000014"/>
  </r>
  <r>
    <d v="2020-07-30T00:00:00"/>
    <x v="3"/>
    <x v="3"/>
    <x v="2"/>
    <x v="24"/>
    <n v="560"/>
    <n v="3.29"/>
    <n v="4.21"/>
    <s v="TVA"/>
    <n v="0.37889999999999996"/>
    <n v="4.5888999999999998"/>
    <n v="1842.4"/>
    <n v="2569.7839999999997"/>
    <s v="PROFIT"/>
    <n v="727.38399999999956"/>
    <n v="691.01479999999958"/>
  </r>
  <r>
    <d v="2020-07-18T00:00:00"/>
    <x v="0"/>
    <x v="0"/>
    <x v="2"/>
    <x v="24"/>
    <n v="720"/>
    <n v="3.29"/>
    <n v="4.21"/>
    <s v="TVA"/>
    <n v="0.37889999999999996"/>
    <n v="4.5888999999999998"/>
    <n v="2368.8000000000002"/>
    <n v="3304.0079999999998"/>
    <s v="PROFIT"/>
    <n v="935.20799999999963"/>
    <n v="888.44759999999962"/>
  </r>
  <r>
    <d v="2021-08-02T00:00:00"/>
    <x v="0"/>
    <x v="0"/>
    <x v="2"/>
    <x v="16"/>
    <n v="715"/>
    <n v="3.28"/>
    <n v="4.2699999999999996"/>
    <s v="TVA"/>
    <n v="0.38429999999999997"/>
    <n v="4.6542999999999992"/>
    <n v="2345.1999999999998"/>
    <n v="3327.8244999999993"/>
    <s v="PROFIT"/>
    <n v="982.62449999999944"/>
    <n v="933.49327499999947"/>
  </r>
  <r>
    <d v="2021-03-14T00:00:00"/>
    <x v="3"/>
    <x v="3"/>
    <x v="2"/>
    <x v="20"/>
    <n v="930"/>
    <n v="1.62"/>
    <n v="2.87"/>
    <s v="TVA"/>
    <n v="0.25829999999999997"/>
    <n v="3.1283000000000003"/>
    <n v="1506.6000000000001"/>
    <n v="2909.3190000000004"/>
    <s v="PROFIT"/>
    <n v="1402.7190000000003"/>
    <n v="1262.4471000000003"/>
  </r>
  <r>
    <d v="2021-09-16T00:00:00"/>
    <x v="0"/>
    <x v="0"/>
    <x v="3"/>
    <x v="25"/>
    <n v="200"/>
    <n v="0.98"/>
    <n v="1.28"/>
    <s v="TVA"/>
    <n v="0.1152"/>
    <n v="1.3952"/>
    <n v="196"/>
    <n v="279.04000000000002"/>
    <s v="PROFIT"/>
    <n v="83.04000000000002"/>
    <n v="83.04000000000002"/>
  </r>
  <r>
    <d v="2021-09-28T00:00:00"/>
    <x v="3"/>
    <x v="3"/>
    <x v="3"/>
    <x v="25"/>
    <n v="211"/>
    <n v="0.98"/>
    <n v="1.28"/>
    <s v="TVA"/>
    <n v="0.1152"/>
    <n v="1.3952"/>
    <n v="206.78"/>
    <n v="294.38720000000001"/>
    <s v="PROFIT"/>
    <n v="87.607200000000006"/>
    <n v="87.607200000000006"/>
  </r>
  <r>
    <d v="2021-08-14T00:00:00"/>
    <x v="3"/>
    <x v="3"/>
    <x v="3"/>
    <x v="25"/>
    <n v="221"/>
    <n v="0.98"/>
    <n v="1.28"/>
    <s v="TVA"/>
    <n v="0.1152"/>
    <n v="1.3952"/>
    <n v="216.57999999999998"/>
    <n v="308.33920000000001"/>
    <s v="PROFIT"/>
    <n v="91.759200000000021"/>
    <n v="91.759200000000021"/>
  </r>
  <r>
    <d v="2021-04-19T00:00:00"/>
    <x v="0"/>
    <x v="0"/>
    <x v="3"/>
    <x v="25"/>
    <n v="240"/>
    <n v="0.98"/>
    <n v="1.28"/>
    <s v="TVA"/>
    <n v="0.1152"/>
    <n v="1.3952"/>
    <n v="235.2"/>
    <n v="334.84800000000001"/>
    <s v="PROFIT"/>
    <n v="99.648000000000025"/>
    <n v="99.648000000000025"/>
  </r>
  <r>
    <d v="2021-10-31T00:00:00"/>
    <x v="0"/>
    <x v="0"/>
    <x v="3"/>
    <x v="25"/>
    <n v="250"/>
    <n v="0.98"/>
    <n v="1.28"/>
    <s v="TVA"/>
    <n v="0.1152"/>
    <n v="1.3952"/>
    <n v="245"/>
    <n v="348.8"/>
    <s v="PROFIT"/>
    <n v="103.80000000000001"/>
    <n v="102.76200000000001"/>
  </r>
  <r>
    <d v="2021-09-04T00:00:00"/>
    <x v="3"/>
    <x v="3"/>
    <x v="3"/>
    <x v="25"/>
    <n v="264"/>
    <n v="0.98"/>
    <n v="1.28"/>
    <s v="TVA"/>
    <n v="0.1152"/>
    <n v="1.3952"/>
    <n v="258.71999999999997"/>
    <n v="368.33280000000002"/>
    <s v="PROFIT"/>
    <n v="109.61280000000005"/>
    <n v="108.51667200000004"/>
  </r>
  <r>
    <d v="2020-04-19T00:00:00"/>
    <x v="3"/>
    <x v="3"/>
    <x v="3"/>
    <x v="26"/>
    <n v="134"/>
    <n v="2.74"/>
    <n v="3.35"/>
    <s v="TVA"/>
    <n v="0.30149999999999999"/>
    <n v="3.6515"/>
    <n v="367.16"/>
    <n v="489.30099999999999"/>
    <s v="PROFIT"/>
    <n v="122.14099999999996"/>
    <n v="120.91958999999996"/>
  </r>
  <r>
    <d v="2021-05-19T00:00:00"/>
    <x v="3"/>
    <x v="3"/>
    <x v="3"/>
    <x v="25"/>
    <n v="300"/>
    <n v="0.98"/>
    <n v="1.28"/>
    <s v="TVA"/>
    <n v="0.1152"/>
    <n v="1.3952"/>
    <n v="294"/>
    <n v="418.56"/>
    <s v="PROFIT"/>
    <n v="124.56"/>
    <n v="123.31440000000001"/>
  </r>
  <r>
    <d v="2020-10-10T00:00:00"/>
    <x v="2"/>
    <x v="2"/>
    <x v="3"/>
    <x v="27"/>
    <n v="114"/>
    <n v="0.52"/>
    <n v="1.6800000000000002"/>
    <s v="TVA"/>
    <n v="0.1512"/>
    <n v="1.8312000000000002"/>
    <n v="59.28"/>
    <n v="208.75680000000003"/>
    <s v="PROFIT"/>
    <n v="149.47680000000003"/>
    <n v="147.98203200000003"/>
  </r>
  <r>
    <d v="2020-02-15T00:00:00"/>
    <x v="0"/>
    <x v="0"/>
    <x v="3"/>
    <x v="26"/>
    <n v="270"/>
    <n v="2.74"/>
    <n v="3.35"/>
    <s v="TVA"/>
    <n v="0.30149999999999999"/>
    <n v="3.6515"/>
    <n v="739.80000000000007"/>
    <n v="985.90499999999997"/>
    <s v="PROFIT"/>
    <n v="246.1049999999999"/>
    <n v="243.6439499999999"/>
  </r>
  <r>
    <d v="2020-01-28T00:00:00"/>
    <x v="0"/>
    <x v="0"/>
    <x v="3"/>
    <x v="26"/>
    <n v="280"/>
    <n v="2.74"/>
    <n v="3.35"/>
    <s v="TVA"/>
    <n v="0.30149999999999999"/>
    <n v="3.6515"/>
    <n v="767.2"/>
    <n v="1022.42"/>
    <s v="PROFIT"/>
    <n v="255.21999999999991"/>
    <n v="252.66779999999991"/>
  </r>
  <r>
    <d v="2020-03-20T00:00:00"/>
    <x v="0"/>
    <x v="0"/>
    <x v="3"/>
    <x v="26"/>
    <n v="285"/>
    <n v="2.74"/>
    <n v="3.35"/>
    <s v="TVA"/>
    <n v="0.30149999999999999"/>
    <n v="3.6515"/>
    <n v="780.90000000000009"/>
    <n v="1040.6775"/>
    <s v="PROFIT"/>
    <n v="259.77749999999992"/>
    <n v="257.17972499999991"/>
  </r>
  <r>
    <d v="2020-04-13T00:00:00"/>
    <x v="1"/>
    <x v="1"/>
    <x v="3"/>
    <x v="26"/>
    <n v="285"/>
    <n v="2.74"/>
    <n v="3.35"/>
    <s v="TVA"/>
    <n v="0.30149999999999999"/>
    <n v="3.6515"/>
    <n v="780.90000000000009"/>
    <n v="1040.6775"/>
    <s v="PROFIT"/>
    <n v="259.77749999999992"/>
    <n v="257.17972499999991"/>
  </r>
  <r>
    <d v="2021-02-13T00:00:00"/>
    <x v="0"/>
    <x v="0"/>
    <x v="3"/>
    <x v="27"/>
    <n v="210"/>
    <n v="0.52"/>
    <n v="1.6800000000000002"/>
    <s v="TVA"/>
    <n v="0.1512"/>
    <n v="1.8312000000000002"/>
    <n v="109.2"/>
    <n v="384.55200000000002"/>
    <s v="PROFIT"/>
    <n v="275.35200000000003"/>
    <n v="272.59848000000005"/>
  </r>
  <r>
    <d v="2021-02-01T00:00:00"/>
    <x v="3"/>
    <x v="3"/>
    <x v="3"/>
    <x v="27"/>
    <n v="240"/>
    <n v="0.52"/>
    <n v="1.68"/>
    <s v="TVA"/>
    <n v="0.1512"/>
    <n v="1.8311999999999999"/>
    <n v="124.80000000000001"/>
    <n v="439.488"/>
    <s v="PROFIT"/>
    <n v="314.68799999999999"/>
    <n v="311.54111999999998"/>
  </r>
  <r>
    <d v="2020-06-24T00:00:00"/>
    <x v="2"/>
    <x v="2"/>
    <x v="3"/>
    <x v="28"/>
    <n v="285"/>
    <n v="0.67"/>
    <n v="1.68"/>
    <s v="TVA"/>
    <n v="0.1512"/>
    <n v="1.8311999999999999"/>
    <n v="190.95000000000002"/>
    <n v="521.89199999999994"/>
    <s v="PROFIT"/>
    <n v="330.94199999999989"/>
    <n v="327.6325799999999"/>
  </r>
  <r>
    <d v="2020-07-27T00:00:00"/>
    <x v="1"/>
    <x v="1"/>
    <x v="3"/>
    <x v="28"/>
    <n v="310"/>
    <n v="0.67"/>
    <n v="1.68"/>
    <s v="TVA"/>
    <n v="0.1512"/>
    <n v="1.8311999999999999"/>
    <n v="207.70000000000002"/>
    <n v="567.67200000000003"/>
    <s v="PROFIT"/>
    <n v="359.97199999999998"/>
    <n v="356.37227999999999"/>
  </r>
  <r>
    <d v="2020-11-27T00:00:00"/>
    <x v="2"/>
    <x v="2"/>
    <x v="3"/>
    <x v="27"/>
    <n v="290"/>
    <n v="0.52"/>
    <n v="1.68"/>
    <s v="TVA"/>
    <n v="0.1512"/>
    <n v="1.8311999999999999"/>
    <n v="150.80000000000001"/>
    <n v="531.048"/>
    <s v="PROFIT"/>
    <n v="380.24799999999999"/>
    <n v="376.44551999999999"/>
  </r>
  <r>
    <d v="2020-12-21T00:00:00"/>
    <x v="2"/>
    <x v="2"/>
    <x v="3"/>
    <x v="27"/>
    <n v="290"/>
    <n v="0.52"/>
    <n v="1.68"/>
    <s v="TVA"/>
    <n v="0.1512"/>
    <n v="1.8311999999999999"/>
    <n v="150.80000000000001"/>
    <n v="531.048"/>
    <s v="PROFIT"/>
    <n v="380.24799999999999"/>
    <n v="376.44551999999999"/>
  </r>
  <r>
    <d v="2021-01-08T00:00:00"/>
    <x v="3"/>
    <x v="3"/>
    <x v="3"/>
    <x v="27"/>
    <n v="290"/>
    <n v="0.52"/>
    <n v="1.68"/>
    <s v="TVA"/>
    <n v="0.1512"/>
    <n v="1.8311999999999999"/>
    <n v="150.80000000000001"/>
    <n v="531.048"/>
    <s v="PROFIT"/>
    <n v="380.24799999999999"/>
    <n v="376.44551999999999"/>
  </r>
  <r>
    <d v="2021-03-23T00:00:00"/>
    <x v="2"/>
    <x v="2"/>
    <x v="3"/>
    <x v="27"/>
    <n v="330"/>
    <n v="0.52"/>
    <n v="1.68"/>
    <s v="TVA"/>
    <n v="0.1512"/>
    <n v="1.8311999999999999"/>
    <n v="171.6"/>
    <n v="604.29599999999994"/>
    <s v="PROFIT"/>
    <n v="432.69599999999991"/>
    <n v="428.36903999999993"/>
  </r>
  <r>
    <d v="2021-03-11T00:00:00"/>
    <x v="1"/>
    <x v="1"/>
    <x v="3"/>
    <x v="27"/>
    <n v="410"/>
    <n v="0.52"/>
    <n v="1.68"/>
    <s v="TVA"/>
    <n v="0.1512"/>
    <n v="1.8311999999999999"/>
    <n v="213.20000000000002"/>
    <n v="750.79200000000003"/>
    <s v="PROFIT"/>
    <n v="537.59199999999998"/>
    <n v="510.7124"/>
  </r>
  <r>
    <d v="2020-05-19T00:00:00"/>
    <x v="0"/>
    <x v="0"/>
    <x v="3"/>
    <x v="28"/>
    <n v="495"/>
    <n v="0.67"/>
    <n v="1.68"/>
    <s v="TVA"/>
    <n v="0.1512"/>
    <n v="1.8311999999999999"/>
    <n v="331.65000000000003"/>
    <n v="906.44399999999996"/>
    <s v="PROFIT"/>
    <n v="574.79399999999987"/>
    <n v="546.0542999999999"/>
  </r>
  <r>
    <d v="2021-03-17T00:00:00"/>
    <x v="3"/>
    <x v="3"/>
    <x v="3"/>
    <x v="27"/>
    <n v="470"/>
    <n v="0.52"/>
    <n v="1.68"/>
    <s v="TVA"/>
    <n v="0.1512"/>
    <n v="1.8311999999999999"/>
    <n v="244.4"/>
    <n v="860.66399999999999"/>
    <s v="PROFIT"/>
    <n v="616.26400000000001"/>
    <n v="585.45079999999996"/>
  </r>
  <r>
    <d v="2020-04-04T00:00:00"/>
    <x v="2"/>
    <x v="2"/>
    <x v="3"/>
    <x v="26"/>
    <n v="685"/>
    <n v="2.74"/>
    <n v="3.35"/>
    <s v="TVA"/>
    <n v="0.30149999999999999"/>
    <n v="3.6515"/>
    <n v="1876.9"/>
    <n v="2501.2775000000001"/>
    <s v="PROFIT"/>
    <n v="624.37750000000005"/>
    <n v="593.15862500000003"/>
  </r>
  <r>
    <d v="2020-09-13T00:00:00"/>
    <x v="3"/>
    <x v="3"/>
    <x v="3"/>
    <x v="28"/>
    <n v="270"/>
    <n v="0.67"/>
    <n v="3.15"/>
    <s v="TVA"/>
    <n v="0.28349999999999997"/>
    <n v="3.4335"/>
    <n v="180.9"/>
    <n v="927.04499999999996"/>
    <s v="PROFIT"/>
    <n v="746.14499999999998"/>
    <n v="708.83775000000003"/>
  </r>
  <r>
    <d v="2020-04-28T00:00:00"/>
    <x v="0"/>
    <x v="0"/>
    <x v="3"/>
    <x v="28"/>
    <n v="645"/>
    <n v="0.67"/>
    <n v="1.68"/>
    <s v="TVA"/>
    <n v="0.1512"/>
    <n v="1.8311999999999999"/>
    <n v="432.15000000000003"/>
    <n v="1181.124"/>
    <s v="PROFIT"/>
    <n v="748.97399999999993"/>
    <n v="711.5252999999999"/>
  </r>
  <r>
    <d v="2020-11-06T00:00:00"/>
    <x v="2"/>
    <x v="2"/>
    <x v="3"/>
    <x v="27"/>
    <n v="620"/>
    <n v="0.52"/>
    <n v="1.68"/>
    <s v="TVA"/>
    <n v="0.1512"/>
    <n v="1.8311999999999999"/>
    <n v="322.40000000000003"/>
    <n v="1135.3440000000001"/>
    <s v="PROFIT"/>
    <n v="812.94399999999996"/>
    <n v="772.29679999999996"/>
  </r>
  <r>
    <d v="2021-02-22T00:00:00"/>
    <x v="3"/>
    <x v="3"/>
    <x v="3"/>
    <x v="27"/>
    <n v="310"/>
    <n v="0.52"/>
    <n v="3.1500000000000004"/>
    <s v="TVA"/>
    <n v="0.28350000000000003"/>
    <n v="3.4335000000000004"/>
    <n v="161.20000000000002"/>
    <n v="1064.3850000000002"/>
    <s v="PROFIT"/>
    <n v="903.18500000000017"/>
    <n v="858.025750000000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BA6C1C-98E9-2C4B-9500-34558059141D}" name="PivotTable1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F34" firstHeaderRow="1" firstDataRow="2" firstDataCol="1" rowPageCount="1" colPageCount="1"/>
  <pivotFields count="16">
    <pivotField numFmtId="14" showAll="0"/>
    <pivotField showAll="0"/>
    <pivotField axis="axisCol" showAll="0">
      <items count="5">
        <item n="Voluntari" x="3"/>
        <item n="Bucuresti" x="0"/>
        <item x="2"/>
        <item n="Constanta" x="1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Row" showAll="0">
      <items count="30">
        <item x="24"/>
        <item x="10"/>
        <item x="7"/>
        <item x="12"/>
        <item x="13"/>
        <item x="14"/>
        <item x="15"/>
        <item n="Ciocolata Milka" x="11"/>
        <item n="Chipsuri" x="26"/>
        <item x="19"/>
        <item x="0"/>
        <item n="Covrigei" x="28"/>
        <item x="9"/>
        <item x="18"/>
        <item x="22"/>
        <item x="8"/>
        <item x="20"/>
        <item x="25"/>
        <item x="21"/>
        <item x="23"/>
        <item x="27"/>
        <item x="16"/>
        <item n="Tigari Kent 8" x="2"/>
        <item x="3"/>
        <item x="4"/>
        <item x="17"/>
        <item x="1"/>
        <item n="Vin rose" x="5"/>
        <item x="6"/>
        <item t="default"/>
      </items>
    </pivotField>
    <pivotField dataField="1" showAll="0"/>
    <pivotField numFmtId="2" showAll="0"/>
    <pivotField numFmtId="2" showAll="0"/>
    <pivotField showAll="0"/>
    <pivotField numFmtId="2" showAll="0"/>
    <pivotField numFmtId="2" showAll="0"/>
    <pivotField numFmtId="2" showAll="0"/>
    <pivotField showAll="0"/>
    <pivotField showAll="0"/>
    <pivotField numFmtId="2" showAll="0"/>
    <pivotField numFmtId="2" showAll="0"/>
  </pivotFields>
  <rowFields count="1">
    <field x="4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Cantitate Vanduta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A17900-BE4E-F44A-857A-67BEE5968550}" name="PivotTable4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F3" firstHeaderRow="1" firstDataRow="2" firstDataCol="1"/>
  <pivotFields count="16">
    <pivotField numFmtId="14" showAll="0"/>
    <pivotField showAll="0"/>
    <pivotField showAll="0"/>
    <pivotField axis="axisCol" showAll="0">
      <items count="5">
        <item n="Băuturi alcoolice și țigări" x="0"/>
        <item x="1"/>
        <item n="Fructe si legume" x="2"/>
        <item n="Snaksuri" x="3"/>
        <item t="default"/>
      </items>
    </pivotField>
    <pivotField showAll="0"/>
    <pivotField showAll="0"/>
    <pivotField numFmtId="2" showAll="0"/>
    <pivotField numFmtId="2" showAll="0"/>
    <pivotField showAll="0"/>
    <pivotField dataField="1" numFmtId="2" showAll="0"/>
    <pivotField numFmtId="2" showAll="0"/>
    <pivotField numFmtId="2" showAll="0"/>
    <pivotField showAll="0"/>
    <pivotField showAll="0"/>
    <pivotField numFmtId="2" showAll="0"/>
    <pivotField numFmtId="2" showAll="0"/>
  </pivotFields>
  <rowItems count="1">
    <i/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um of Valoare taxe" fld="9" baseField="0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900466-3D8C-6B47-A0F3-ADF490D034E1}" name="PivotTable5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F7" firstHeaderRow="1" firstDataRow="2" firstDataCol="1"/>
  <pivotFields count="16">
    <pivotField numFmtId="14" showAll="0"/>
    <pivotField axis="axisCol" showAll="0">
      <items count="5">
        <item x="2"/>
        <item n="Bucuresti" x="0"/>
        <item x="3"/>
        <item n="Constanta" x="1"/>
        <item t="default"/>
      </items>
    </pivotField>
    <pivotField showAll="0"/>
    <pivotField axis="axisRow" showAll="0">
      <items count="5">
        <item n="Băuturi alcoolice și țigări" x="0"/>
        <item x="1"/>
        <item n="Fructe si legume" x="2"/>
        <item n="Snaksuri" x="3"/>
        <item t="default"/>
      </items>
    </pivotField>
    <pivotField showAll="0"/>
    <pivotField dataField="1" showAll="0"/>
    <pivotField numFmtId="2" showAll="0"/>
    <pivotField numFmtId="2" showAll="0"/>
    <pivotField showAll="0"/>
    <pivotField numFmtId="2" showAll="0"/>
    <pivotField numFmtId="2" showAll="0"/>
    <pivotField numFmtId="2" showAll="0"/>
    <pivotField showAll="0"/>
    <pivotField showAll="0"/>
    <pivotField numFmtId="2" showAll="0"/>
    <pivotField numFmtId="2" showAl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dataFields count="1">
    <dataField name="Sum of Cantitate Vanduta" fld="5" baseField="0" baseItem="0"/>
  </dataFields>
  <chartFormats count="4">
    <chartFormat chart="0" format="5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1C613-9A1C-4F54-BDA7-1305D16439F1}">
  <sheetPr codeName="Sheet1"/>
  <dimension ref="A1:P245"/>
  <sheetViews>
    <sheetView zoomScaleNormal="85" zoomScaleSheetLayoutView="80" workbookViewId="0">
      <pane ySplit="1" topLeftCell="A138" activePane="bottomLeft" state="frozen"/>
      <selection pane="bottomLeft" activeCell="D167" sqref="D167"/>
    </sheetView>
  </sheetViews>
  <sheetFormatPr baseColWidth="10" defaultColWidth="8.83203125" defaultRowHeight="15" x14ac:dyDescent="0.2"/>
  <cols>
    <col min="1" max="1" width="18.6640625" style="3" customWidth="1"/>
    <col min="2" max="2" width="21" customWidth="1"/>
    <col min="3" max="3" width="15.33203125" customWidth="1"/>
    <col min="4" max="4" width="20.6640625" customWidth="1"/>
    <col min="5" max="5" width="16.5" bestFit="1" customWidth="1"/>
    <col min="6" max="6" width="16.1640625" customWidth="1"/>
    <col min="7" max="7" width="20.5" bestFit="1" customWidth="1"/>
    <col min="8" max="8" width="25.33203125" style="1" bestFit="1" customWidth="1"/>
    <col min="9" max="9" width="7" style="1" bestFit="1" customWidth="1"/>
    <col min="10" max="10" width="10.83203125" style="1" bestFit="1" customWidth="1"/>
    <col min="11" max="11" width="24.33203125" style="1" bestFit="1" customWidth="1"/>
    <col min="12" max="12" width="16.6640625" style="1" bestFit="1" customWidth="1"/>
    <col min="13" max="13" width="15.1640625" style="2" bestFit="1" customWidth="1"/>
    <col min="14" max="14" width="6.5" style="2" bestFit="1" customWidth="1"/>
    <col min="15" max="15" width="15.83203125" style="1" bestFit="1" customWidth="1"/>
    <col min="16" max="16" width="17.83203125" bestFit="1" customWidth="1"/>
  </cols>
  <sheetData>
    <row r="1" spans="1:16" x14ac:dyDescent="0.2">
      <c r="A1" s="8" t="s">
        <v>36</v>
      </c>
      <c r="B1" s="9" t="s">
        <v>35</v>
      </c>
      <c r="C1" s="9" t="s">
        <v>34</v>
      </c>
      <c r="D1" s="9" t="s">
        <v>33</v>
      </c>
      <c r="E1" s="9" t="s">
        <v>32</v>
      </c>
      <c r="F1" s="9" t="s">
        <v>40</v>
      </c>
      <c r="G1" s="10" t="s">
        <v>30</v>
      </c>
      <c r="H1" s="10" t="s">
        <v>37</v>
      </c>
      <c r="I1" s="10" t="s">
        <v>43</v>
      </c>
      <c r="J1" s="10" t="s">
        <v>39</v>
      </c>
      <c r="K1" s="10" t="s">
        <v>38</v>
      </c>
      <c r="L1" s="10" t="s">
        <v>41</v>
      </c>
      <c r="M1" s="10" t="s">
        <v>31</v>
      </c>
      <c r="N1" s="10" t="s">
        <v>29</v>
      </c>
      <c r="O1" s="10" t="s">
        <v>42</v>
      </c>
      <c r="P1" s="9" t="s">
        <v>44</v>
      </c>
    </row>
    <row r="2" spans="1:16" x14ac:dyDescent="0.2">
      <c r="A2" s="11">
        <v>44691</v>
      </c>
      <c r="B2" s="12" t="s">
        <v>5</v>
      </c>
      <c r="C2" s="12" t="s">
        <v>5</v>
      </c>
      <c r="D2" s="12" t="s">
        <v>51</v>
      </c>
      <c r="E2" s="12" t="s">
        <v>13</v>
      </c>
      <c r="F2" s="12">
        <v>33</v>
      </c>
      <c r="G2" s="13">
        <v>40.119999999999997</v>
      </c>
      <c r="H2" s="13">
        <v>47.62</v>
      </c>
      <c r="I2" s="13" t="str">
        <f>IF(D2="Băuturi alcoolice şi ţigări","ACCIZA","TVA")</f>
        <v>ACCIZA</v>
      </c>
      <c r="J2" s="13">
        <f>IF(Vanzari!$D2="Băuturi alcoolice şi ţigări",Vanzari!$H2*0.05,Vanzari!$H2*0.09)</f>
        <v>2.3809999999999998</v>
      </c>
      <c r="K2" s="13">
        <f>SUM(Vanzari!$H2,Vanzari!$J2)</f>
        <v>50.000999999999998</v>
      </c>
      <c r="L2" s="13">
        <f>Vanzari!$F2*Vanzari!$G2</f>
        <v>1323.9599999999998</v>
      </c>
      <c r="M2" s="13">
        <f>Vanzari!$F2*Vanzari!$K2</f>
        <v>1650.0329999999999</v>
      </c>
      <c r="N2" s="13" t="str">
        <f>IF(Vanzari!$M2&gt;Vanzari!$L2,"PROFIT","PIERDERE")</f>
        <v>PROFIT</v>
      </c>
      <c r="O2" s="13">
        <f>Vanzari!$M2-Vanzari!$L2</f>
        <v>326.07300000000009</v>
      </c>
      <c r="P2" s="13">
        <f>ProfitImpozitat(Vanzari!$O2)</f>
        <v>322.81227000000007</v>
      </c>
    </row>
    <row r="3" spans="1:16" x14ac:dyDescent="0.2">
      <c r="A3" s="14">
        <v>44709</v>
      </c>
      <c r="B3" s="7" t="s">
        <v>60</v>
      </c>
      <c r="C3" s="7" t="s">
        <v>60</v>
      </c>
      <c r="D3" s="7" t="s">
        <v>51</v>
      </c>
      <c r="E3" s="7" t="s">
        <v>13</v>
      </c>
      <c r="F3" s="7">
        <v>36</v>
      </c>
      <c r="G3" s="15">
        <v>40.119999999999997</v>
      </c>
      <c r="H3" s="15">
        <v>47.62</v>
      </c>
      <c r="I3" s="15" t="str">
        <f>IF(Vanzari!$D3="Băuturi alcoolice şi ţigări","ACCIZA","TVA")</f>
        <v>ACCIZA</v>
      </c>
      <c r="J3" s="15">
        <f>IF(Vanzari!$D3="Băuturi alcoolice şi ţigări",Vanzari!$H3*0.05,Vanzari!$H3*0.09)</f>
        <v>2.3809999999999998</v>
      </c>
      <c r="K3" s="15">
        <f>SUM(Vanzari!$H3,Vanzari!$J3)</f>
        <v>50.000999999999998</v>
      </c>
      <c r="L3" s="15">
        <f>Vanzari!$F3*Vanzari!$G3</f>
        <v>1444.32</v>
      </c>
      <c r="M3" s="15">
        <f>Vanzari!$F3*Vanzari!$K3</f>
        <v>1800.0359999999998</v>
      </c>
      <c r="N3" s="15" t="str">
        <f>IF(Vanzari!$M3&gt;Vanzari!$L3,"PROFIT","PIERDERE")</f>
        <v>PROFIT</v>
      </c>
      <c r="O3" s="15">
        <f>Vanzari!$M3-Vanzari!$L3</f>
        <v>355.71599999999989</v>
      </c>
      <c r="P3" s="15" cm="1">
        <f t="array" ref="P3">ProfitImpozitat(Vanzari!$O3)</f>
        <v>352.15883999999988</v>
      </c>
    </row>
    <row r="4" spans="1:16" x14ac:dyDescent="0.2">
      <c r="A4" s="14">
        <v>44769</v>
      </c>
      <c r="B4" s="7" t="s">
        <v>1</v>
      </c>
      <c r="C4" s="7" t="s">
        <v>0</v>
      </c>
      <c r="D4" s="7" t="s">
        <v>51</v>
      </c>
      <c r="E4" s="7" t="s">
        <v>9</v>
      </c>
      <c r="F4" s="7">
        <v>20</v>
      </c>
      <c r="G4" s="15">
        <v>9.6199999999999992</v>
      </c>
      <c r="H4" s="15">
        <v>26.51</v>
      </c>
      <c r="I4" s="15" t="str">
        <f>IF(Vanzari!$D4="Băuturi alcoolice şi ţigări","ACCIZA","TVA")</f>
        <v>ACCIZA</v>
      </c>
      <c r="J4" s="15">
        <f>IF(Vanzari!$D4="Băuturi alcoolice şi ţigări",Vanzari!$H4*0.05,Vanzari!$H4*0.09)</f>
        <v>1.3255000000000001</v>
      </c>
      <c r="K4" s="15">
        <f>SUM(Vanzari!$H4,Vanzari!$J4)</f>
        <v>27.835500000000003</v>
      </c>
      <c r="L4" s="15">
        <f>Vanzari!$F4*Vanzari!$G4</f>
        <v>192.39999999999998</v>
      </c>
      <c r="M4" s="15">
        <f>Vanzari!$F4*Vanzari!$K4</f>
        <v>556.71</v>
      </c>
      <c r="N4" s="15" t="str">
        <f>IF(Vanzari!$M4&gt;Vanzari!$L4,"PROFIT","PIERDERE")</f>
        <v>PROFIT</v>
      </c>
      <c r="O4" s="15">
        <f>Vanzari!$M4-Vanzari!$L4</f>
        <v>364.31000000000006</v>
      </c>
      <c r="P4" s="15" cm="1">
        <f t="array" ref="P4">ProfitImpozitat(Vanzari!$O4)</f>
        <v>360.66690000000006</v>
      </c>
    </row>
    <row r="5" spans="1:16" x14ac:dyDescent="0.2">
      <c r="A5" s="14">
        <v>44739</v>
      </c>
      <c r="B5" s="7" t="s">
        <v>6</v>
      </c>
      <c r="C5" s="7" t="s">
        <v>59</v>
      </c>
      <c r="D5" s="7" t="s">
        <v>51</v>
      </c>
      <c r="E5" s="7" t="s">
        <v>13</v>
      </c>
      <c r="F5" s="7">
        <v>38</v>
      </c>
      <c r="G5" s="15">
        <v>40.119999999999997</v>
      </c>
      <c r="H5" s="15">
        <v>47.62</v>
      </c>
      <c r="I5" s="15" t="str">
        <f>IF(Vanzari!$D5="Băuturi alcoolice şi ţigări","ACCIZA","TVA")</f>
        <v>ACCIZA</v>
      </c>
      <c r="J5" s="15">
        <f>IF(Vanzari!$D5="Băuturi alcoolice şi ţigări",Vanzari!$H5*0.05,Vanzari!$H5*0.09)</f>
        <v>2.3809999999999998</v>
      </c>
      <c r="K5" s="15">
        <f>SUM(Vanzari!$H5,Vanzari!$J5)</f>
        <v>50.000999999999998</v>
      </c>
      <c r="L5" s="15">
        <f>Vanzari!$F5*Vanzari!$G5</f>
        <v>1524.56</v>
      </c>
      <c r="M5" s="15">
        <f>Vanzari!$F5*Vanzari!$K5</f>
        <v>1900.038</v>
      </c>
      <c r="N5" s="15" t="str">
        <f>IF(Vanzari!$M5&gt;Vanzari!$L5,"PROFIT","PIERDERE")</f>
        <v>PROFIT</v>
      </c>
      <c r="O5" s="15">
        <f>Vanzari!$M5-Vanzari!$L5</f>
        <v>375.47800000000007</v>
      </c>
      <c r="P5" s="15" cm="1">
        <f t="array" ref="P5">ProfitImpozitat(Vanzari!$O5)</f>
        <v>371.72322000000008</v>
      </c>
    </row>
    <row r="6" spans="1:16" x14ac:dyDescent="0.2">
      <c r="A6" s="14">
        <v>44730</v>
      </c>
      <c r="B6" s="7" t="s">
        <v>5</v>
      </c>
      <c r="C6" s="7" t="s">
        <v>5</v>
      </c>
      <c r="D6" s="7" t="s">
        <v>51</v>
      </c>
      <c r="E6" s="7" t="s">
        <v>13</v>
      </c>
      <c r="F6" s="7">
        <v>40</v>
      </c>
      <c r="G6" s="15">
        <v>40.119999999999997</v>
      </c>
      <c r="H6" s="15">
        <v>47.62</v>
      </c>
      <c r="I6" s="15" t="str">
        <f>IF(Vanzari!$D6="Băuturi alcoolice şi ţigări","ACCIZA","TVA")</f>
        <v>ACCIZA</v>
      </c>
      <c r="J6" s="15">
        <f>IF(Vanzari!$D6="Băuturi alcoolice şi ţigări",Vanzari!$H6*0.05,Vanzari!$H6*0.09)</f>
        <v>2.3809999999999998</v>
      </c>
      <c r="K6" s="15">
        <f>SUM(Vanzari!$H6,Vanzari!$J6)</f>
        <v>50.000999999999998</v>
      </c>
      <c r="L6" s="15">
        <f>Vanzari!$F6*Vanzari!$G6</f>
        <v>1604.8</v>
      </c>
      <c r="M6" s="15">
        <f>Vanzari!$F6*Vanzari!$K6</f>
        <v>2000.04</v>
      </c>
      <c r="N6" s="15" t="str">
        <f>IF(Vanzari!$M6&gt;Vanzari!$L6,"PROFIT","PIERDERE")</f>
        <v>PROFIT</v>
      </c>
      <c r="O6" s="15">
        <f>Vanzari!$M6-Vanzari!$L6</f>
        <v>395.24</v>
      </c>
      <c r="P6" s="15" cm="1">
        <f t="array" ref="P6">ProfitImpozitat(Vanzari!$O6)</f>
        <v>391.2876</v>
      </c>
    </row>
    <row r="7" spans="1:16" x14ac:dyDescent="0.2">
      <c r="A7" s="14">
        <v>44703</v>
      </c>
      <c r="B7" s="7" t="s">
        <v>1</v>
      </c>
      <c r="C7" s="7" t="s">
        <v>0</v>
      </c>
      <c r="D7" s="7" t="s">
        <v>51</v>
      </c>
      <c r="E7" s="7" t="s">
        <v>13</v>
      </c>
      <c r="F7" s="7">
        <v>43</v>
      </c>
      <c r="G7" s="15">
        <v>40.119999999999997</v>
      </c>
      <c r="H7" s="15">
        <v>47.62</v>
      </c>
      <c r="I7" s="15" t="str">
        <f>IF(Vanzari!$D7="Băuturi alcoolice şi ţigări","ACCIZA","TVA")</f>
        <v>ACCIZA</v>
      </c>
      <c r="J7" s="15">
        <f>IF(Vanzari!$D7="Băuturi alcoolice şi ţigări",Vanzari!$H7*0.05,Vanzari!$H7*0.09)</f>
        <v>2.3809999999999998</v>
      </c>
      <c r="K7" s="15">
        <f>SUM(Vanzari!$H7,Vanzari!$J7)</f>
        <v>50.000999999999998</v>
      </c>
      <c r="L7" s="15">
        <f>Vanzari!$F7*Vanzari!$G7</f>
        <v>1725.1599999999999</v>
      </c>
      <c r="M7" s="15">
        <f>Vanzari!$F7*Vanzari!$K7</f>
        <v>2150.0430000000001</v>
      </c>
      <c r="N7" s="15" t="str">
        <f>IF(Vanzari!$M7&gt;Vanzari!$L7,"PROFIT","PIERDERE")</f>
        <v>PROFIT</v>
      </c>
      <c r="O7" s="15">
        <f>Vanzari!$M7-Vanzari!$L7</f>
        <v>424.88300000000027</v>
      </c>
      <c r="P7" s="15" cm="1">
        <f t="array" ref="P7">ProfitImpozitat(Vanzari!$O7)</f>
        <v>420.63417000000027</v>
      </c>
    </row>
    <row r="8" spans="1:16" x14ac:dyDescent="0.2">
      <c r="A8" s="14">
        <v>44341</v>
      </c>
      <c r="B8" s="7" t="s">
        <v>6</v>
      </c>
      <c r="C8" s="7" t="s">
        <v>59</v>
      </c>
      <c r="D8" s="7" t="s">
        <v>51</v>
      </c>
      <c r="E8" s="7" t="s">
        <v>54</v>
      </c>
      <c r="F8" s="7">
        <v>27</v>
      </c>
      <c r="G8" s="15">
        <v>5</v>
      </c>
      <c r="H8" s="15">
        <v>20</v>
      </c>
      <c r="I8" s="15" t="str">
        <f>IF(Vanzari!$D8="Băuturi alcoolice şi ţigări","ACCIZA","TVA")</f>
        <v>ACCIZA</v>
      </c>
      <c r="J8" s="15">
        <f>IF(Vanzari!$D8="Băuturi alcoolice şi ţigări",Vanzari!$H8*0.05,Vanzari!$H8*0.09)</f>
        <v>1</v>
      </c>
      <c r="K8" s="15">
        <f>SUM(Vanzari!$H8,Vanzari!$J8)</f>
        <v>21</v>
      </c>
      <c r="L8" s="15">
        <f>Vanzari!$F8*Vanzari!$G8</f>
        <v>135</v>
      </c>
      <c r="M8" s="15">
        <f>Vanzari!$F8*Vanzari!$K8</f>
        <v>567</v>
      </c>
      <c r="N8" s="15" t="str">
        <f>IF(Vanzari!$M8&gt;Vanzari!$L8,"PROFIT","PIERDERE")</f>
        <v>PROFIT</v>
      </c>
      <c r="O8" s="15">
        <f>Vanzari!$M8-Vanzari!$L8</f>
        <v>432</v>
      </c>
      <c r="P8" s="15" cm="1">
        <f t="array" ref="P8">ProfitImpozitat(Vanzari!$O8)</f>
        <v>427.68</v>
      </c>
    </row>
    <row r="9" spans="1:16" x14ac:dyDescent="0.2">
      <c r="A9" s="14">
        <v>44712</v>
      </c>
      <c r="B9" s="7" t="s">
        <v>60</v>
      </c>
      <c r="C9" s="7" t="s">
        <v>60</v>
      </c>
      <c r="D9" s="7" t="s">
        <v>51</v>
      </c>
      <c r="E9" s="7" t="s">
        <v>13</v>
      </c>
      <c r="F9" s="7">
        <v>44</v>
      </c>
      <c r="G9" s="15">
        <v>40.119999999999997</v>
      </c>
      <c r="H9" s="15">
        <v>47.62</v>
      </c>
      <c r="I9" s="15" t="str">
        <f>IF(Vanzari!$D9="Băuturi alcoolice şi ţigări","ACCIZA","TVA")</f>
        <v>ACCIZA</v>
      </c>
      <c r="J9" s="15">
        <f>IF(Vanzari!$D9="Băuturi alcoolice şi ţigări",Vanzari!$H9*0.05,Vanzari!$H9*0.09)</f>
        <v>2.3809999999999998</v>
      </c>
      <c r="K9" s="15">
        <f>SUM(Vanzari!$H9,Vanzari!$J9)</f>
        <v>50.000999999999998</v>
      </c>
      <c r="L9" s="15">
        <f>Vanzari!$F9*Vanzari!$G9</f>
        <v>1765.28</v>
      </c>
      <c r="M9" s="15">
        <f>Vanzari!$F9*Vanzari!$K9</f>
        <v>2200.0439999999999</v>
      </c>
      <c r="N9" s="15" t="str">
        <f>IF(Vanzari!$M9&gt;Vanzari!$L9,"PROFIT","PIERDERE")</f>
        <v>PROFIT</v>
      </c>
      <c r="O9" s="15">
        <f>Vanzari!$M9-Vanzari!$L9</f>
        <v>434.7639999999999</v>
      </c>
      <c r="P9" s="15" cm="1">
        <f t="array" ref="P9">ProfitImpozitat(Vanzari!$O9)</f>
        <v>430.41635999999988</v>
      </c>
    </row>
    <row r="10" spans="1:16" x14ac:dyDescent="0.2">
      <c r="A10" s="14">
        <v>44446</v>
      </c>
      <c r="B10" s="7" t="s">
        <v>6</v>
      </c>
      <c r="C10" s="7" t="s">
        <v>59</v>
      </c>
      <c r="D10" s="7" t="s">
        <v>51</v>
      </c>
      <c r="E10" s="7" t="s">
        <v>20</v>
      </c>
      <c r="F10" s="7">
        <v>28</v>
      </c>
      <c r="G10" s="15">
        <v>5</v>
      </c>
      <c r="H10" s="15">
        <v>20</v>
      </c>
      <c r="I10" s="15" t="str">
        <f>IF(Vanzari!$D10="Băuturi alcoolice şi ţigări","ACCIZA","TVA")</f>
        <v>ACCIZA</v>
      </c>
      <c r="J10" s="15">
        <f>IF(Vanzari!$D10="Băuturi alcoolice şi ţigări",Vanzari!$H10*0.05,Vanzari!$H10*0.09)</f>
        <v>1</v>
      </c>
      <c r="K10" s="15">
        <f>SUM(Vanzari!$H10,Vanzari!$J10)</f>
        <v>21</v>
      </c>
      <c r="L10" s="15">
        <f>Vanzari!$F10*Vanzari!$G10</f>
        <v>140</v>
      </c>
      <c r="M10" s="15">
        <f>Vanzari!$F10*Vanzari!$K10</f>
        <v>588</v>
      </c>
      <c r="N10" s="15" t="str">
        <f>IF(Vanzari!$M10&gt;Vanzari!$L10,"PROFIT","PIERDERE")</f>
        <v>PROFIT</v>
      </c>
      <c r="O10" s="15">
        <f>Vanzari!$M10-Vanzari!$L10</f>
        <v>448</v>
      </c>
      <c r="P10" s="15" cm="1">
        <f t="array" ref="P10">ProfitImpozitat(Vanzari!$O10)</f>
        <v>443.52</v>
      </c>
    </row>
    <row r="11" spans="1:16" x14ac:dyDescent="0.2">
      <c r="A11" s="14">
        <v>44260</v>
      </c>
      <c r="B11" s="7" t="s">
        <v>60</v>
      </c>
      <c r="C11" s="7" t="s">
        <v>60</v>
      </c>
      <c r="D11" s="7" t="s">
        <v>51</v>
      </c>
      <c r="E11" s="7" t="s">
        <v>26</v>
      </c>
      <c r="F11" s="7">
        <v>30</v>
      </c>
      <c r="G11" s="15">
        <v>5</v>
      </c>
      <c r="H11" s="15">
        <v>20</v>
      </c>
      <c r="I11" s="15" t="str">
        <f>IF(Vanzari!$D11="Băuturi alcoolice şi ţigări","ACCIZA","TVA")</f>
        <v>ACCIZA</v>
      </c>
      <c r="J11" s="15">
        <f>IF(Vanzari!$D11="Băuturi alcoolice şi ţigări",Vanzari!$H11*0.05,Vanzari!$H11*0.09)</f>
        <v>1</v>
      </c>
      <c r="K11" s="15">
        <f>SUM(Vanzari!$H11,Vanzari!$J11)</f>
        <v>21</v>
      </c>
      <c r="L11" s="15">
        <f>Vanzari!$F11*Vanzari!$G11</f>
        <v>150</v>
      </c>
      <c r="M11" s="15">
        <f>Vanzari!$F11*Vanzari!$K11</f>
        <v>630</v>
      </c>
      <c r="N11" s="15" t="str">
        <f>IF(Vanzari!$M11&gt;Vanzari!$L11,"PROFIT","PIERDERE")</f>
        <v>PROFIT</v>
      </c>
      <c r="O11" s="15">
        <f>Vanzari!$M11-Vanzari!$L11</f>
        <v>480</v>
      </c>
      <c r="P11" s="15" cm="1">
        <f t="array" ref="P11">ProfitImpozitat(Vanzari!$O11)</f>
        <v>475.2</v>
      </c>
    </row>
    <row r="12" spans="1:16" x14ac:dyDescent="0.2">
      <c r="A12" s="14">
        <v>44230</v>
      </c>
      <c r="B12" s="7" t="s">
        <v>6</v>
      </c>
      <c r="C12" s="7" t="s">
        <v>59</v>
      </c>
      <c r="D12" s="7" t="s">
        <v>51</v>
      </c>
      <c r="E12" s="7" t="s">
        <v>26</v>
      </c>
      <c r="F12" s="7">
        <v>31</v>
      </c>
      <c r="G12" s="15">
        <v>5</v>
      </c>
      <c r="H12" s="15">
        <v>20</v>
      </c>
      <c r="I12" s="15" t="str">
        <f>IF(Vanzari!$D12="Băuturi alcoolice şi ţigări","ACCIZA","TVA")</f>
        <v>ACCIZA</v>
      </c>
      <c r="J12" s="15">
        <f>IF(Vanzari!$D12="Băuturi alcoolice şi ţigări",Vanzari!$H12*0.05,Vanzari!$H12*0.09)</f>
        <v>1</v>
      </c>
      <c r="K12" s="15">
        <f>SUM(Vanzari!$H12,Vanzari!$J12)</f>
        <v>21</v>
      </c>
      <c r="L12" s="15">
        <f>Vanzari!$F12*Vanzari!$G12</f>
        <v>155</v>
      </c>
      <c r="M12" s="15">
        <f>Vanzari!$F12*Vanzari!$K12</f>
        <v>651</v>
      </c>
      <c r="N12" s="15" t="str">
        <f>IF(Vanzari!$M12&gt;Vanzari!$L12,"PROFIT","PIERDERE")</f>
        <v>PROFIT</v>
      </c>
      <c r="O12" s="15">
        <f>Vanzari!$M12-Vanzari!$L12</f>
        <v>496</v>
      </c>
      <c r="P12" s="15" cm="1">
        <f t="array" ref="P12">ProfitImpozitat(Vanzari!$O12)</f>
        <v>491.04</v>
      </c>
    </row>
    <row r="13" spans="1:16" x14ac:dyDescent="0.2">
      <c r="A13" s="14">
        <v>44425</v>
      </c>
      <c r="B13" s="7" t="s">
        <v>6</v>
      </c>
      <c r="C13" s="7" t="s">
        <v>59</v>
      </c>
      <c r="D13" s="7" t="s">
        <v>51</v>
      </c>
      <c r="E13" s="7" t="s">
        <v>20</v>
      </c>
      <c r="F13" s="7">
        <v>31</v>
      </c>
      <c r="G13" s="15">
        <v>5</v>
      </c>
      <c r="H13" s="15">
        <v>20</v>
      </c>
      <c r="I13" s="15" t="str">
        <f>IF(Vanzari!$D13="Băuturi alcoolice şi ţigări","ACCIZA","TVA")</f>
        <v>ACCIZA</v>
      </c>
      <c r="J13" s="15">
        <f>IF(Vanzari!$D13="Băuturi alcoolice şi ţigări",Vanzari!$H13*0.05,Vanzari!$H13*0.09)</f>
        <v>1</v>
      </c>
      <c r="K13" s="15">
        <f>SUM(Vanzari!$H13,Vanzari!$J13)</f>
        <v>21</v>
      </c>
      <c r="L13" s="15">
        <f>Vanzari!$F13*Vanzari!$G13</f>
        <v>155</v>
      </c>
      <c r="M13" s="15">
        <f>Vanzari!$F13*Vanzari!$K13</f>
        <v>651</v>
      </c>
      <c r="N13" s="15" t="str">
        <f>IF(Vanzari!$M13&gt;Vanzari!$L13,"PROFIT","PIERDERE")</f>
        <v>PROFIT</v>
      </c>
      <c r="O13" s="15">
        <f>Vanzari!$M13-Vanzari!$L13</f>
        <v>496</v>
      </c>
      <c r="P13" s="15" cm="1">
        <f t="array" ref="P13">ProfitImpozitat(Vanzari!$O13)</f>
        <v>491.04</v>
      </c>
    </row>
    <row r="14" spans="1:16" x14ac:dyDescent="0.2">
      <c r="A14" s="14">
        <v>44844</v>
      </c>
      <c r="B14" s="7" t="s">
        <v>5</v>
      </c>
      <c r="C14" s="7" t="s">
        <v>5</v>
      </c>
      <c r="D14" s="7" t="s">
        <v>51</v>
      </c>
      <c r="E14" s="7" t="s">
        <v>55</v>
      </c>
      <c r="F14" s="7">
        <v>23</v>
      </c>
      <c r="G14" s="15">
        <v>9.6199999999999992</v>
      </c>
      <c r="H14" s="15">
        <v>29.8</v>
      </c>
      <c r="I14" s="15" t="str">
        <f>IF(Vanzari!$D14="Băuturi alcoolice şi ţigări","ACCIZA","TVA")</f>
        <v>ACCIZA</v>
      </c>
      <c r="J14" s="15">
        <f>IF(Vanzari!$D14="Băuturi alcoolice şi ţigări",Vanzari!$H14*0.05,Vanzari!$H14*0.09)</f>
        <v>1.4900000000000002</v>
      </c>
      <c r="K14" s="15">
        <f>SUM(Vanzari!$H14,Vanzari!$J14)</f>
        <v>31.29</v>
      </c>
      <c r="L14" s="15">
        <f>Vanzari!$F14*Vanzari!$G14</f>
        <v>221.26</v>
      </c>
      <c r="M14" s="15">
        <f>Vanzari!$F14*Vanzari!$K14</f>
        <v>719.67</v>
      </c>
      <c r="N14" s="15" t="str">
        <f>IF(Vanzari!$M14&gt;Vanzari!$L14,"PROFIT","PIERDERE")</f>
        <v>PROFIT</v>
      </c>
      <c r="O14" s="15">
        <f>Vanzari!$M14-Vanzari!$L14</f>
        <v>498.40999999999997</v>
      </c>
      <c r="P14" s="15" cm="1">
        <f t="array" ref="P14">ProfitImpozitat(Vanzari!$O14)</f>
        <v>493.42589999999996</v>
      </c>
    </row>
    <row r="15" spans="1:16" x14ac:dyDescent="0.2">
      <c r="A15" s="14">
        <v>44515</v>
      </c>
      <c r="B15" s="7" t="s">
        <v>60</v>
      </c>
      <c r="C15" s="7" t="s">
        <v>60</v>
      </c>
      <c r="D15" s="7" t="s">
        <v>51</v>
      </c>
      <c r="E15" s="7" t="s">
        <v>20</v>
      </c>
      <c r="F15" s="7">
        <v>32</v>
      </c>
      <c r="G15" s="15">
        <v>5</v>
      </c>
      <c r="H15" s="15">
        <v>20</v>
      </c>
      <c r="I15" s="15" t="str">
        <f>IF(Vanzari!$D15="Băuturi alcoolice şi ţigări","ACCIZA","TVA")</f>
        <v>ACCIZA</v>
      </c>
      <c r="J15" s="15">
        <f>IF(Vanzari!$D15="Băuturi alcoolice şi ţigări",Vanzari!$H15*0.05,Vanzari!$H15*0.09)</f>
        <v>1</v>
      </c>
      <c r="K15" s="15">
        <f>SUM(Vanzari!$H15,Vanzari!$J15)</f>
        <v>21</v>
      </c>
      <c r="L15" s="15">
        <f>Vanzari!$F15*Vanzari!$G15</f>
        <v>160</v>
      </c>
      <c r="M15" s="15">
        <f>Vanzari!$F15*Vanzari!$K15</f>
        <v>672</v>
      </c>
      <c r="N15" s="15" t="str">
        <f>IF(Vanzari!$M15&gt;Vanzari!$L15,"PROFIT","PIERDERE")</f>
        <v>PROFIT</v>
      </c>
      <c r="O15" s="15">
        <f>Vanzari!$M15-Vanzari!$L15</f>
        <v>512</v>
      </c>
      <c r="P15" s="15" cm="1">
        <f t="array" ref="P15">ProfitImpozitat(Vanzari!$O15)</f>
        <v>486.4</v>
      </c>
    </row>
    <row r="16" spans="1:16" x14ac:dyDescent="0.2">
      <c r="A16" s="14">
        <v>44868</v>
      </c>
      <c r="B16" s="7" t="s">
        <v>60</v>
      </c>
      <c r="C16" s="7" t="s">
        <v>60</v>
      </c>
      <c r="D16" s="7" t="s">
        <v>51</v>
      </c>
      <c r="E16" s="7" t="s">
        <v>55</v>
      </c>
      <c r="F16" s="7">
        <v>24</v>
      </c>
      <c r="G16" s="15">
        <v>9.6199999999999992</v>
      </c>
      <c r="H16" s="15">
        <v>29.8</v>
      </c>
      <c r="I16" s="15" t="str">
        <f>IF(Vanzari!$D16="Băuturi alcoolice şi ţigări","ACCIZA","TVA")</f>
        <v>ACCIZA</v>
      </c>
      <c r="J16" s="15">
        <f>IF(Vanzari!$D16="Băuturi alcoolice şi ţigări",Vanzari!$H16*0.05,Vanzari!$H16*0.09)</f>
        <v>1.4900000000000002</v>
      </c>
      <c r="K16" s="15">
        <f>SUM(Vanzari!$H16,Vanzari!$J16)</f>
        <v>31.29</v>
      </c>
      <c r="L16" s="15">
        <f>Vanzari!$F16*Vanzari!$G16</f>
        <v>230.88</v>
      </c>
      <c r="M16" s="15">
        <f>Vanzari!$F16*Vanzari!$K16</f>
        <v>750.96</v>
      </c>
      <c r="N16" s="15" t="str">
        <f>IF(Vanzari!$M16&gt;Vanzari!$L16,"PROFIT","PIERDERE")</f>
        <v>PROFIT</v>
      </c>
      <c r="O16" s="15">
        <f>Vanzari!$M16-Vanzari!$L16</f>
        <v>520.08000000000004</v>
      </c>
      <c r="P16" s="15" cm="1">
        <f t="array" ref="P16">ProfitImpozitat(Vanzari!$O16)</f>
        <v>494.07600000000002</v>
      </c>
    </row>
    <row r="17" spans="1:16" x14ac:dyDescent="0.2">
      <c r="A17" s="14">
        <v>44254</v>
      </c>
      <c r="B17" s="7" t="s">
        <v>1</v>
      </c>
      <c r="C17" s="7" t="s">
        <v>0</v>
      </c>
      <c r="D17" s="7" t="s">
        <v>51</v>
      </c>
      <c r="E17" s="7" t="s">
        <v>26</v>
      </c>
      <c r="F17" s="7">
        <v>33</v>
      </c>
      <c r="G17" s="15">
        <v>5</v>
      </c>
      <c r="H17" s="15">
        <v>20</v>
      </c>
      <c r="I17" s="15" t="str">
        <f>IF(Vanzari!$D17="Băuturi alcoolice şi ţigări","ACCIZA","TVA")</f>
        <v>ACCIZA</v>
      </c>
      <c r="J17" s="15">
        <f>IF(Vanzari!$D17="Băuturi alcoolice şi ţigări",Vanzari!$H17*0.05,Vanzari!$H17*0.09)</f>
        <v>1</v>
      </c>
      <c r="K17" s="15">
        <f>SUM(Vanzari!$H17,Vanzari!$J17)</f>
        <v>21</v>
      </c>
      <c r="L17" s="15">
        <f>Vanzari!$F17*Vanzari!$G17</f>
        <v>165</v>
      </c>
      <c r="M17" s="15">
        <f>Vanzari!$F17*Vanzari!$K17</f>
        <v>693</v>
      </c>
      <c r="N17" s="15" t="str">
        <f>IF(Vanzari!$M17&gt;Vanzari!$L17,"PROFIT","PIERDERE")</f>
        <v>PROFIT</v>
      </c>
      <c r="O17" s="15">
        <f>Vanzari!$M17-Vanzari!$L17</f>
        <v>528</v>
      </c>
      <c r="P17" s="15" cm="1">
        <f t="array" ref="P17">ProfitImpozitat(Vanzari!$O17)</f>
        <v>501.6</v>
      </c>
    </row>
    <row r="18" spans="1:16" x14ac:dyDescent="0.2">
      <c r="A18" s="14">
        <v>44536</v>
      </c>
      <c r="B18" s="7" t="s">
        <v>60</v>
      </c>
      <c r="C18" s="7" t="s">
        <v>60</v>
      </c>
      <c r="D18" s="7" t="s">
        <v>51</v>
      </c>
      <c r="E18" s="7" t="s">
        <v>16</v>
      </c>
      <c r="F18" s="7">
        <v>29</v>
      </c>
      <c r="G18" s="15">
        <v>37.909999999999997</v>
      </c>
      <c r="H18" s="15">
        <v>54.32</v>
      </c>
      <c r="I18" s="15" t="str">
        <f>IF(Vanzari!$D18="Băuturi alcoolice şi ţigări","ACCIZA","TVA")</f>
        <v>ACCIZA</v>
      </c>
      <c r="J18" s="15">
        <f>IF(Vanzari!$D18="Băuturi alcoolice şi ţigări",Vanzari!$H18*0.05,Vanzari!$H18*0.09)</f>
        <v>2.7160000000000002</v>
      </c>
      <c r="K18" s="15">
        <f>SUM(Vanzari!$H18,Vanzari!$J18)</f>
        <v>57.036000000000001</v>
      </c>
      <c r="L18" s="15">
        <f>Vanzari!$F18*Vanzari!$G18</f>
        <v>1099.3899999999999</v>
      </c>
      <c r="M18" s="15">
        <f>Vanzari!$F18*Vanzari!$K18</f>
        <v>1654.0440000000001</v>
      </c>
      <c r="N18" s="15" t="str">
        <f>IF(Vanzari!$M18&gt;Vanzari!$L18,"PROFIT","PIERDERE")</f>
        <v>PROFIT</v>
      </c>
      <c r="O18" s="15">
        <f>Vanzari!$M18-Vanzari!$L18</f>
        <v>554.65400000000022</v>
      </c>
      <c r="P18" s="15" cm="1">
        <f t="array" ref="P18">ProfitImpozitat(Vanzari!$O18)</f>
        <v>526.9213000000002</v>
      </c>
    </row>
    <row r="19" spans="1:16" x14ac:dyDescent="0.2">
      <c r="A19" s="14">
        <v>44608</v>
      </c>
      <c r="B19" s="7" t="s">
        <v>60</v>
      </c>
      <c r="C19" s="7" t="s">
        <v>60</v>
      </c>
      <c r="D19" s="7" t="s">
        <v>51</v>
      </c>
      <c r="E19" s="7" t="s">
        <v>16</v>
      </c>
      <c r="F19" s="7">
        <v>29</v>
      </c>
      <c r="G19" s="15">
        <v>37.909999999999997</v>
      </c>
      <c r="H19" s="15">
        <v>54.32</v>
      </c>
      <c r="I19" s="15" t="str">
        <f>IF(Vanzari!$D19="Băuturi alcoolice şi ţigări","ACCIZA","TVA")</f>
        <v>ACCIZA</v>
      </c>
      <c r="J19" s="15">
        <f>IF(Vanzari!$D19="Băuturi alcoolice şi ţigări",Vanzari!$H19*0.05,Vanzari!$H19*0.09)</f>
        <v>2.7160000000000002</v>
      </c>
      <c r="K19" s="15">
        <f>SUM(Vanzari!$H19,Vanzari!$J19)</f>
        <v>57.036000000000001</v>
      </c>
      <c r="L19" s="15">
        <f>Vanzari!$F19*Vanzari!$G19</f>
        <v>1099.3899999999999</v>
      </c>
      <c r="M19" s="15">
        <f>Vanzari!$F19*Vanzari!$K19</f>
        <v>1654.0440000000001</v>
      </c>
      <c r="N19" s="15" t="str">
        <f>IF(Vanzari!$M19&gt;Vanzari!$L19,"PROFIT","PIERDERE")</f>
        <v>PROFIT</v>
      </c>
      <c r="O19" s="15">
        <f>Vanzari!$M19-Vanzari!$L19</f>
        <v>554.65400000000022</v>
      </c>
      <c r="P19" s="15" cm="1">
        <f t="array" ref="P19">ProfitImpozitat(Vanzari!$O19)</f>
        <v>526.9213000000002</v>
      </c>
    </row>
    <row r="20" spans="1:16" x14ac:dyDescent="0.2">
      <c r="A20" s="14">
        <v>44685</v>
      </c>
      <c r="B20" s="7" t="s">
        <v>1</v>
      </c>
      <c r="C20" s="7" t="s">
        <v>0</v>
      </c>
      <c r="D20" s="7" t="s">
        <v>51</v>
      </c>
      <c r="E20" s="7" t="s">
        <v>13</v>
      </c>
      <c r="F20" s="7">
        <v>58</v>
      </c>
      <c r="G20" s="15">
        <v>40.119999999999997</v>
      </c>
      <c r="H20" s="15">
        <v>47.62</v>
      </c>
      <c r="I20" s="15" t="str">
        <f>IF(Vanzari!$D20="Băuturi alcoolice şi ţigări","ACCIZA","TVA")</f>
        <v>ACCIZA</v>
      </c>
      <c r="J20" s="15">
        <f>IF(Vanzari!$D20="Băuturi alcoolice şi ţigări",Vanzari!$H20*0.05,Vanzari!$H20*0.09)</f>
        <v>2.3809999999999998</v>
      </c>
      <c r="K20" s="15">
        <f>SUM(Vanzari!$H20,Vanzari!$J20)</f>
        <v>50.000999999999998</v>
      </c>
      <c r="L20" s="15">
        <f>Vanzari!$F20*Vanzari!$G20</f>
        <v>2326.96</v>
      </c>
      <c r="M20" s="15">
        <f>Vanzari!$F20*Vanzari!$K20</f>
        <v>2900.058</v>
      </c>
      <c r="N20" s="15" t="str">
        <f>IF(Vanzari!$M20&gt;Vanzari!$L20,"PROFIT","PIERDERE")</f>
        <v>PROFIT</v>
      </c>
      <c r="O20" s="15">
        <f>Vanzari!$M20-Vanzari!$L20</f>
        <v>573.09799999999996</v>
      </c>
      <c r="P20" s="15" cm="1">
        <f t="array" ref="P20">ProfitImpozitat(Vanzari!$O20)</f>
        <v>544.44309999999996</v>
      </c>
    </row>
    <row r="21" spans="1:16" x14ac:dyDescent="0.2">
      <c r="A21" s="14">
        <v>44617</v>
      </c>
      <c r="B21" s="7" t="s">
        <v>1</v>
      </c>
      <c r="C21" s="7" t="s">
        <v>0</v>
      </c>
      <c r="D21" s="7" t="s">
        <v>51</v>
      </c>
      <c r="E21" s="7" t="s">
        <v>16</v>
      </c>
      <c r="F21" s="7">
        <v>30</v>
      </c>
      <c r="G21" s="15">
        <v>37.909999999999997</v>
      </c>
      <c r="H21" s="15">
        <v>54.32</v>
      </c>
      <c r="I21" s="15" t="str">
        <f>IF(Vanzari!$D21="Băuturi alcoolice şi ţigări","ACCIZA","TVA")</f>
        <v>ACCIZA</v>
      </c>
      <c r="J21" s="15">
        <f>IF(Vanzari!$D21="Băuturi alcoolice şi ţigări",Vanzari!$H21*0.05,Vanzari!$H21*0.09)</f>
        <v>2.7160000000000002</v>
      </c>
      <c r="K21" s="15">
        <f>SUM(Vanzari!$H21,Vanzari!$J21)</f>
        <v>57.036000000000001</v>
      </c>
      <c r="L21" s="15">
        <f>Vanzari!$F21*Vanzari!$G21</f>
        <v>1137.3</v>
      </c>
      <c r="M21" s="15">
        <f>Vanzari!$F21*Vanzari!$K21</f>
        <v>1711.08</v>
      </c>
      <c r="N21" s="15" t="str">
        <f>IF(Vanzari!$M21&gt;Vanzari!$L21,"PROFIT","PIERDERE")</f>
        <v>PROFIT</v>
      </c>
      <c r="O21" s="15">
        <f>Vanzari!$M21-Vanzari!$L21</f>
        <v>573.78</v>
      </c>
      <c r="P21" s="15" cm="1">
        <f t="array" ref="P21">ProfitImpozitat(Vanzari!$O21)</f>
        <v>545.09100000000001</v>
      </c>
    </row>
    <row r="22" spans="1:16" x14ac:dyDescent="0.2">
      <c r="A22" s="14">
        <v>44227</v>
      </c>
      <c r="B22" s="7" t="s">
        <v>6</v>
      </c>
      <c r="C22" s="7" t="s">
        <v>59</v>
      </c>
      <c r="D22" s="7" t="s">
        <v>51</v>
      </c>
      <c r="E22" s="7" t="s">
        <v>26</v>
      </c>
      <c r="F22" s="7">
        <v>36</v>
      </c>
      <c r="G22" s="15">
        <v>5</v>
      </c>
      <c r="H22" s="15">
        <v>20</v>
      </c>
      <c r="I22" s="15" t="str">
        <f>IF(Vanzari!$D22="Băuturi alcoolice şi ţigări","ACCIZA","TVA")</f>
        <v>ACCIZA</v>
      </c>
      <c r="J22" s="15">
        <f>IF(Vanzari!$D22="Băuturi alcoolice şi ţigări",Vanzari!$H22*0.05,Vanzari!$H22*0.09)</f>
        <v>1</v>
      </c>
      <c r="K22" s="15">
        <f>SUM(Vanzari!$H22,Vanzari!$J22)</f>
        <v>21</v>
      </c>
      <c r="L22" s="15">
        <f>Vanzari!$F22*Vanzari!$G22</f>
        <v>180</v>
      </c>
      <c r="M22" s="15">
        <f>Vanzari!$F22*Vanzari!$K22</f>
        <v>756</v>
      </c>
      <c r="N22" s="15" t="str">
        <f>IF(Vanzari!$M22&gt;Vanzari!$L22,"PROFIT","PIERDERE")</f>
        <v>PROFIT</v>
      </c>
      <c r="O22" s="15">
        <f>Vanzari!$M22-Vanzari!$L22</f>
        <v>576</v>
      </c>
      <c r="P22" s="15" cm="1">
        <f t="array" ref="P22">ProfitImpozitat(Vanzari!$O22)</f>
        <v>547.20000000000005</v>
      </c>
    </row>
    <row r="23" spans="1:16" x14ac:dyDescent="0.2">
      <c r="A23" s="14">
        <v>44763</v>
      </c>
      <c r="B23" s="7" t="s">
        <v>6</v>
      </c>
      <c r="C23" s="7" t="s">
        <v>59</v>
      </c>
      <c r="D23" s="7" t="s">
        <v>51</v>
      </c>
      <c r="E23" s="7" t="s">
        <v>9</v>
      </c>
      <c r="F23" s="7">
        <v>32</v>
      </c>
      <c r="G23" s="15">
        <v>9.6199999999999992</v>
      </c>
      <c r="H23" s="15">
        <v>26.51</v>
      </c>
      <c r="I23" s="15" t="str">
        <f>IF(Vanzari!$D23="Băuturi alcoolice şi ţigări","ACCIZA","TVA")</f>
        <v>ACCIZA</v>
      </c>
      <c r="J23" s="15">
        <f>IF(Vanzari!$D23="Băuturi alcoolice şi ţigări",Vanzari!$H23*0.05,Vanzari!$H23*0.09)</f>
        <v>1.3255000000000001</v>
      </c>
      <c r="K23" s="15">
        <f>SUM(Vanzari!$H23,Vanzari!$J23)</f>
        <v>27.835500000000003</v>
      </c>
      <c r="L23" s="15">
        <f>Vanzari!$F23*Vanzari!$G23</f>
        <v>307.83999999999997</v>
      </c>
      <c r="M23" s="15">
        <f>Vanzari!$F23*Vanzari!$K23</f>
        <v>890.7360000000001</v>
      </c>
      <c r="N23" s="15" t="str">
        <f>IF(Vanzari!$M23&gt;Vanzari!$L23,"PROFIT","PIERDERE")</f>
        <v>PROFIT</v>
      </c>
      <c r="O23" s="15">
        <f>Vanzari!$M23-Vanzari!$L23</f>
        <v>582.89600000000019</v>
      </c>
      <c r="P23" s="15" cm="1">
        <f t="array" ref="P23">ProfitImpozitat(Vanzari!$O23)</f>
        <v>553.75120000000015</v>
      </c>
    </row>
    <row r="24" spans="1:16" x14ac:dyDescent="0.2">
      <c r="A24" s="14">
        <v>44748</v>
      </c>
      <c r="B24" s="7" t="s">
        <v>1</v>
      </c>
      <c r="C24" s="7" t="s">
        <v>0</v>
      </c>
      <c r="D24" s="7" t="s">
        <v>51</v>
      </c>
      <c r="E24" s="7" t="s">
        <v>13</v>
      </c>
      <c r="F24" s="7">
        <v>60</v>
      </c>
      <c r="G24" s="15">
        <v>40.119999999999997</v>
      </c>
      <c r="H24" s="15">
        <v>47.62</v>
      </c>
      <c r="I24" s="15" t="str">
        <f>IF(Vanzari!$D24="Băuturi alcoolice şi ţigări","ACCIZA","TVA")</f>
        <v>ACCIZA</v>
      </c>
      <c r="J24" s="15">
        <f>IF(Vanzari!$D24="Băuturi alcoolice şi ţigări",Vanzari!$H24*0.05,Vanzari!$H24*0.09)</f>
        <v>2.3809999999999998</v>
      </c>
      <c r="K24" s="15">
        <f>SUM(Vanzari!$H24,Vanzari!$J24)</f>
        <v>50.000999999999998</v>
      </c>
      <c r="L24" s="15">
        <f>Vanzari!$F24*Vanzari!$G24</f>
        <v>2407.1999999999998</v>
      </c>
      <c r="M24" s="15">
        <f>Vanzari!$F24*Vanzari!$K24</f>
        <v>3000.06</v>
      </c>
      <c r="N24" s="15" t="str">
        <f>IF(Vanzari!$M24&gt;Vanzari!$L24,"PROFIT","PIERDERE")</f>
        <v>PROFIT</v>
      </c>
      <c r="O24" s="15">
        <f>Vanzari!$M24-Vanzari!$L24</f>
        <v>592.86000000000013</v>
      </c>
      <c r="P24" s="15" cm="1">
        <f t="array" ref="P24">ProfitImpozitat(Vanzari!$O24)</f>
        <v>563.2170000000001</v>
      </c>
    </row>
    <row r="25" spans="1:16" x14ac:dyDescent="0.2">
      <c r="A25" s="14">
        <v>44209</v>
      </c>
      <c r="B25" s="7" t="s">
        <v>6</v>
      </c>
      <c r="C25" s="7" t="s">
        <v>59</v>
      </c>
      <c r="D25" s="7" t="s">
        <v>51</v>
      </c>
      <c r="E25" s="7" t="s">
        <v>26</v>
      </c>
      <c r="F25" s="7">
        <v>38</v>
      </c>
      <c r="G25" s="15">
        <v>5</v>
      </c>
      <c r="H25" s="15">
        <v>20</v>
      </c>
      <c r="I25" s="15" t="str">
        <f>IF(Vanzari!$D25="Băuturi alcoolice şi ţigări","ACCIZA","TVA")</f>
        <v>ACCIZA</v>
      </c>
      <c r="J25" s="15">
        <f>IF(Vanzari!$D25="Băuturi alcoolice şi ţigări",Vanzari!$H25*0.05,Vanzari!$H25*0.09)</f>
        <v>1</v>
      </c>
      <c r="K25" s="15">
        <f>SUM(Vanzari!$H25,Vanzari!$J25)</f>
        <v>21</v>
      </c>
      <c r="L25" s="15">
        <f>Vanzari!$F25*Vanzari!$G25</f>
        <v>190</v>
      </c>
      <c r="M25" s="15">
        <f>Vanzari!$F25*Vanzari!$K25</f>
        <v>798</v>
      </c>
      <c r="N25" s="15" t="str">
        <f>IF(Vanzari!$M25&gt;Vanzari!$L25,"PROFIT","PIERDERE")</f>
        <v>PROFIT</v>
      </c>
      <c r="O25" s="15">
        <f>Vanzari!$M25-Vanzari!$L25</f>
        <v>608</v>
      </c>
      <c r="P25" s="15" cm="1">
        <f t="array" ref="P25">ProfitImpozitat(Vanzari!$O25)</f>
        <v>577.6</v>
      </c>
    </row>
    <row r="26" spans="1:16" x14ac:dyDescent="0.2">
      <c r="A26" s="14">
        <v>44563</v>
      </c>
      <c r="B26" s="7" t="s">
        <v>6</v>
      </c>
      <c r="C26" s="7" t="s">
        <v>59</v>
      </c>
      <c r="D26" s="7" t="s">
        <v>51</v>
      </c>
      <c r="E26" s="7" t="s">
        <v>16</v>
      </c>
      <c r="F26" s="7">
        <v>32</v>
      </c>
      <c r="G26" s="15">
        <v>37.909999999999997</v>
      </c>
      <c r="H26" s="15">
        <v>54.32</v>
      </c>
      <c r="I26" s="15" t="str">
        <f>IF(Vanzari!$D26="Băuturi alcoolice şi ţigări","ACCIZA","TVA")</f>
        <v>ACCIZA</v>
      </c>
      <c r="J26" s="15">
        <f>IF(Vanzari!$D26="Băuturi alcoolice şi ţigări",Vanzari!$H26*0.05,Vanzari!$H26*0.09)</f>
        <v>2.7160000000000002</v>
      </c>
      <c r="K26" s="15">
        <f>SUM(Vanzari!$H26,Vanzari!$J26)</f>
        <v>57.036000000000001</v>
      </c>
      <c r="L26" s="15">
        <f>Vanzari!$F26*Vanzari!$G26</f>
        <v>1213.1199999999999</v>
      </c>
      <c r="M26" s="15">
        <f>Vanzari!$F26*Vanzari!$K26</f>
        <v>1825.152</v>
      </c>
      <c r="N26" s="15" t="str">
        <f>IF(Vanzari!$M26&gt;Vanzari!$L26,"PROFIT","PIERDERE")</f>
        <v>PROFIT</v>
      </c>
      <c r="O26" s="15">
        <f>Vanzari!$M26-Vanzari!$L26</f>
        <v>612.03200000000015</v>
      </c>
      <c r="P26" s="15" cm="1">
        <f t="array" ref="P26">ProfitImpozitat(Vanzari!$O26)</f>
        <v>581.43040000000019</v>
      </c>
    </row>
    <row r="27" spans="1:16" x14ac:dyDescent="0.2">
      <c r="A27" s="14">
        <v>44278</v>
      </c>
      <c r="B27" s="7" t="s">
        <v>60</v>
      </c>
      <c r="C27" s="7" t="s">
        <v>60</v>
      </c>
      <c r="D27" s="7" t="s">
        <v>51</v>
      </c>
      <c r="E27" s="7" t="s">
        <v>26</v>
      </c>
      <c r="F27" s="7">
        <v>39</v>
      </c>
      <c r="G27" s="15">
        <v>5</v>
      </c>
      <c r="H27" s="15">
        <v>20</v>
      </c>
      <c r="I27" s="15" t="str">
        <f>IF(Vanzari!$D27="Băuturi alcoolice şi ţigări","ACCIZA","TVA")</f>
        <v>ACCIZA</v>
      </c>
      <c r="J27" s="15">
        <f>IF(Vanzari!$D27="Băuturi alcoolice şi ţigări",Vanzari!$H27*0.05,Vanzari!$H27*0.09)</f>
        <v>1</v>
      </c>
      <c r="K27" s="15">
        <f>SUM(Vanzari!$H27,Vanzari!$J27)</f>
        <v>21</v>
      </c>
      <c r="L27" s="15">
        <f>Vanzari!$F27*Vanzari!$G27</f>
        <v>195</v>
      </c>
      <c r="M27" s="15">
        <f>Vanzari!$F27*Vanzari!$K27</f>
        <v>819</v>
      </c>
      <c r="N27" s="15" t="str">
        <f>IF(Vanzari!$M27&gt;Vanzari!$L27,"PROFIT","PIERDERE")</f>
        <v>PROFIT</v>
      </c>
      <c r="O27" s="15">
        <f>Vanzari!$M27-Vanzari!$L27</f>
        <v>624</v>
      </c>
      <c r="P27" s="15" cm="1">
        <f t="array" ref="P27">ProfitImpozitat(Vanzari!$O27)</f>
        <v>592.79999999999995</v>
      </c>
    </row>
    <row r="28" spans="1:16" x14ac:dyDescent="0.2">
      <c r="A28" s="14">
        <v>44494</v>
      </c>
      <c r="B28" s="7" t="s">
        <v>6</v>
      </c>
      <c r="C28" s="7" t="s">
        <v>59</v>
      </c>
      <c r="D28" s="7" t="s">
        <v>51</v>
      </c>
      <c r="E28" s="7" t="s">
        <v>20</v>
      </c>
      <c r="F28" s="7">
        <v>40</v>
      </c>
      <c r="G28" s="15">
        <v>5</v>
      </c>
      <c r="H28" s="15">
        <v>20</v>
      </c>
      <c r="I28" s="15" t="str">
        <f>IF(Vanzari!$D28="Băuturi alcoolice şi ţigări","ACCIZA","TVA")</f>
        <v>ACCIZA</v>
      </c>
      <c r="J28" s="15">
        <f>IF(Vanzari!$D28="Băuturi alcoolice şi ţigări",Vanzari!$H28*0.05,Vanzari!$H28*0.09)</f>
        <v>1</v>
      </c>
      <c r="K28" s="15">
        <f>SUM(Vanzari!$H28,Vanzari!$J28)</f>
        <v>21</v>
      </c>
      <c r="L28" s="15">
        <f>Vanzari!$F28*Vanzari!$G28</f>
        <v>200</v>
      </c>
      <c r="M28" s="15">
        <f>Vanzari!$F28*Vanzari!$K28</f>
        <v>840</v>
      </c>
      <c r="N28" s="15" t="str">
        <f>IF(Vanzari!$M28&gt;Vanzari!$L28,"PROFIT","PIERDERE")</f>
        <v>PROFIT</v>
      </c>
      <c r="O28" s="15">
        <f>Vanzari!$M28-Vanzari!$L28</f>
        <v>640</v>
      </c>
      <c r="P28" s="15" cm="1">
        <f t="array" ref="P28">ProfitImpozitat(Vanzari!$O28)</f>
        <v>608</v>
      </c>
    </row>
    <row r="29" spans="1:16" x14ac:dyDescent="0.2">
      <c r="A29" s="14">
        <v>44599</v>
      </c>
      <c r="B29" s="7" t="s">
        <v>1</v>
      </c>
      <c r="C29" s="7" t="s">
        <v>0</v>
      </c>
      <c r="D29" s="7" t="s">
        <v>51</v>
      </c>
      <c r="E29" s="7" t="s">
        <v>16</v>
      </c>
      <c r="F29" s="7">
        <v>34</v>
      </c>
      <c r="G29" s="15">
        <v>37.909999999999997</v>
      </c>
      <c r="H29" s="15">
        <v>54.32</v>
      </c>
      <c r="I29" s="15" t="str">
        <f>IF(Vanzari!$D29="Băuturi alcoolice şi ţigări","ACCIZA","TVA")</f>
        <v>ACCIZA</v>
      </c>
      <c r="J29" s="15">
        <f>IF(Vanzari!$D29="Băuturi alcoolice şi ţigări",Vanzari!$H29*0.05,Vanzari!$H29*0.09)</f>
        <v>2.7160000000000002</v>
      </c>
      <c r="K29" s="15">
        <f>SUM(Vanzari!$H29,Vanzari!$J29)</f>
        <v>57.036000000000001</v>
      </c>
      <c r="L29" s="15">
        <f>Vanzari!$F29*Vanzari!$G29</f>
        <v>1288.9399999999998</v>
      </c>
      <c r="M29" s="15">
        <f>Vanzari!$F29*Vanzari!$K29</f>
        <v>1939.2240000000002</v>
      </c>
      <c r="N29" s="15" t="str">
        <f>IF(Vanzari!$M29&gt;Vanzari!$L29,"PROFIT","PIERDERE")</f>
        <v>PROFIT</v>
      </c>
      <c r="O29" s="15">
        <f>Vanzari!$M29-Vanzari!$L29</f>
        <v>650.28400000000033</v>
      </c>
      <c r="P29" s="15" cm="1">
        <f t="array" ref="P29">ProfitImpozitat(Vanzari!$O29)</f>
        <v>617.76980000000026</v>
      </c>
    </row>
    <row r="30" spans="1:16" x14ac:dyDescent="0.2">
      <c r="A30" s="14">
        <v>44751</v>
      </c>
      <c r="B30" s="7" t="s">
        <v>5</v>
      </c>
      <c r="C30" s="7" t="s">
        <v>5</v>
      </c>
      <c r="D30" s="7" t="s">
        <v>51</v>
      </c>
      <c r="E30" s="7" t="s">
        <v>9</v>
      </c>
      <c r="F30" s="7">
        <v>37</v>
      </c>
      <c r="G30" s="15">
        <v>9.6199999999999992</v>
      </c>
      <c r="H30" s="15">
        <v>26.51</v>
      </c>
      <c r="I30" s="15" t="str">
        <f>IF(Vanzari!$D30="Băuturi alcoolice şi ţigări","ACCIZA","TVA")</f>
        <v>ACCIZA</v>
      </c>
      <c r="J30" s="15">
        <f>IF(Vanzari!$D30="Băuturi alcoolice şi ţigări",Vanzari!$H30*0.05,Vanzari!$H30*0.09)</f>
        <v>1.3255000000000001</v>
      </c>
      <c r="K30" s="15">
        <f>SUM(Vanzari!$H30,Vanzari!$J30)</f>
        <v>27.835500000000003</v>
      </c>
      <c r="L30" s="15">
        <f>Vanzari!$F30*Vanzari!$G30</f>
        <v>355.94</v>
      </c>
      <c r="M30" s="15">
        <f>Vanzari!$F30*Vanzari!$K30</f>
        <v>1029.9135000000001</v>
      </c>
      <c r="N30" s="15" t="str">
        <f>IF(Vanzari!$M30&gt;Vanzari!$L30,"PROFIT","PIERDERE")</f>
        <v>PROFIT</v>
      </c>
      <c r="O30" s="15">
        <f>Vanzari!$M30-Vanzari!$L30</f>
        <v>673.97350000000006</v>
      </c>
      <c r="P30" s="15" cm="1">
        <f t="array" ref="P30">ProfitImpozitat(Vanzari!$O30)</f>
        <v>640.27482500000008</v>
      </c>
    </row>
    <row r="31" spans="1:16" x14ac:dyDescent="0.2">
      <c r="A31" s="14">
        <v>44245</v>
      </c>
      <c r="B31" s="7" t="s">
        <v>6</v>
      </c>
      <c r="C31" s="7" t="s">
        <v>59</v>
      </c>
      <c r="D31" s="7" t="s">
        <v>51</v>
      </c>
      <c r="E31" s="7" t="s">
        <v>26</v>
      </c>
      <c r="F31" s="7">
        <v>43</v>
      </c>
      <c r="G31" s="15">
        <v>5</v>
      </c>
      <c r="H31" s="15">
        <v>20</v>
      </c>
      <c r="I31" s="15" t="str">
        <f>IF(Vanzari!$D31="Băuturi alcoolice şi ţigări","ACCIZA","TVA")</f>
        <v>ACCIZA</v>
      </c>
      <c r="J31" s="15">
        <f>IF(Vanzari!$D31="Băuturi alcoolice şi ţigări",Vanzari!$H31*0.05,Vanzari!$H31*0.09)</f>
        <v>1</v>
      </c>
      <c r="K31" s="15">
        <f>SUM(Vanzari!$H31,Vanzari!$J31)</f>
        <v>21</v>
      </c>
      <c r="L31" s="15">
        <f>Vanzari!$F31*Vanzari!$G31</f>
        <v>215</v>
      </c>
      <c r="M31" s="15">
        <f>Vanzari!$F31*Vanzari!$K31</f>
        <v>903</v>
      </c>
      <c r="N31" s="15" t="str">
        <f>IF(Vanzari!$M31&gt;Vanzari!$L31,"PROFIT","PIERDERE")</f>
        <v>PROFIT</v>
      </c>
      <c r="O31" s="15">
        <f>Vanzari!$M31-Vanzari!$L31</f>
        <v>688</v>
      </c>
      <c r="P31" s="15" cm="1">
        <f t="array" ref="P31">ProfitImpozitat(Vanzari!$O31)</f>
        <v>653.6</v>
      </c>
    </row>
    <row r="32" spans="1:16" x14ac:dyDescent="0.2">
      <c r="A32" s="14">
        <v>44542</v>
      </c>
      <c r="B32" s="7" t="s">
        <v>6</v>
      </c>
      <c r="C32" s="7" t="s">
        <v>59</v>
      </c>
      <c r="D32" s="7" t="s">
        <v>51</v>
      </c>
      <c r="E32" s="7" t="s">
        <v>16</v>
      </c>
      <c r="F32" s="7">
        <v>36</v>
      </c>
      <c r="G32" s="15">
        <v>37.909999999999997</v>
      </c>
      <c r="H32" s="15">
        <v>54.32</v>
      </c>
      <c r="I32" s="15" t="str">
        <f>IF(Vanzari!$D32="Băuturi alcoolice şi ţigări","ACCIZA","TVA")</f>
        <v>ACCIZA</v>
      </c>
      <c r="J32" s="15">
        <f>IF(Vanzari!$D32="Băuturi alcoolice şi ţigări",Vanzari!$H32*0.05,Vanzari!$H32*0.09)</f>
        <v>2.7160000000000002</v>
      </c>
      <c r="K32" s="15">
        <f>SUM(Vanzari!$H32,Vanzari!$J32)</f>
        <v>57.036000000000001</v>
      </c>
      <c r="L32" s="15">
        <f>Vanzari!$F32*Vanzari!$G32</f>
        <v>1364.7599999999998</v>
      </c>
      <c r="M32" s="15">
        <f>Vanzari!$F32*Vanzari!$K32</f>
        <v>2053.2960000000003</v>
      </c>
      <c r="N32" s="15" t="str">
        <f>IF(Vanzari!$M32&gt;Vanzari!$L32,"PROFIT","PIERDERE")</f>
        <v>PROFIT</v>
      </c>
      <c r="O32" s="15">
        <f>Vanzari!$M32-Vanzari!$L32</f>
        <v>688.53600000000051</v>
      </c>
      <c r="P32" s="15" cm="1">
        <f t="array" ref="P32">ProfitImpozitat(Vanzari!$O32)</f>
        <v>654.10920000000044</v>
      </c>
    </row>
    <row r="33" spans="1:16" x14ac:dyDescent="0.2">
      <c r="A33" s="14">
        <v>44655</v>
      </c>
      <c r="B33" s="7" t="s">
        <v>6</v>
      </c>
      <c r="C33" s="7" t="s">
        <v>59</v>
      </c>
      <c r="D33" s="7" t="s">
        <v>51</v>
      </c>
      <c r="E33" s="7" t="s">
        <v>16</v>
      </c>
      <c r="F33" s="7">
        <v>36</v>
      </c>
      <c r="G33" s="15">
        <v>37.909999999999997</v>
      </c>
      <c r="H33" s="15">
        <v>54.32</v>
      </c>
      <c r="I33" s="15" t="str">
        <f>IF(Vanzari!$D33="Băuturi alcoolice şi ţigări","ACCIZA","TVA")</f>
        <v>ACCIZA</v>
      </c>
      <c r="J33" s="15">
        <f>IF(Vanzari!$D33="Băuturi alcoolice şi ţigări",Vanzari!$H33*0.05,Vanzari!$H33*0.09)</f>
        <v>2.7160000000000002</v>
      </c>
      <c r="K33" s="15">
        <f>SUM(Vanzari!$H33,Vanzari!$J33)</f>
        <v>57.036000000000001</v>
      </c>
      <c r="L33" s="15">
        <f>Vanzari!$F33*Vanzari!$G33</f>
        <v>1364.7599999999998</v>
      </c>
      <c r="M33" s="15">
        <f>Vanzari!$F33*Vanzari!$K33</f>
        <v>2053.2960000000003</v>
      </c>
      <c r="N33" s="15" t="str">
        <f>IF(Vanzari!$M33&gt;Vanzari!$L33,"PROFIT","PIERDERE")</f>
        <v>PROFIT</v>
      </c>
      <c r="O33" s="15">
        <f>Vanzari!$M33-Vanzari!$L33</f>
        <v>688.53600000000051</v>
      </c>
      <c r="P33" s="15" cm="1">
        <f t="array" ref="P33">ProfitImpozitat(Vanzari!$O33)</f>
        <v>654.10920000000044</v>
      </c>
    </row>
    <row r="34" spans="1:16" x14ac:dyDescent="0.2">
      <c r="A34" s="14">
        <v>44781</v>
      </c>
      <c r="B34" s="7" t="s">
        <v>60</v>
      </c>
      <c r="C34" s="7" t="s">
        <v>60</v>
      </c>
      <c r="D34" s="7" t="s">
        <v>51</v>
      </c>
      <c r="E34" s="7" t="s">
        <v>9</v>
      </c>
      <c r="F34" s="7">
        <v>38</v>
      </c>
      <c r="G34" s="15">
        <v>9.6199999999999992</v>
      </c>
      <c r="H34" s="15">
        <v>26.51</v>
      </c>
      <c r="I34" s="15" t="str">
        <f>IF(Vanzari!$D34="Băuturi alcoolice şi ţigări","ACCIZA","TVA")</f>
        <v>ACCIZA</v>
      </c>
      <c r="J34" s="15">
        <f>IF(Vanzari!$D34="Băuturi alcoolice şi ţigări",Vanzari!$H34*0.05,Vanzari!$H34*0.09)</f>
        <v>1.3255000000000001</v>
      </c>
      <c r="K34" s="15">
        <f>SUM(Vanzari!$H34,Vanzari!$J34)</f>
        <v>27.835500000000003</v>
      </c>
      <c r="L34" s="15">
        <f>Vanzari!$F34*Vanzari!$G34</f>
        <v>365.55999999999995</v>
      </c>
      <c r="M34" s="15">
        <f>Vanzari!$F34*Vanzari!$K34</f>
        <v>1057.749</v>
      </c>
      <c r="N34" s="15" t="str">
        <f>IF(Vanzari!$M34&gt;Vanzari!$L34,"PROFIT","PIERDERE")</f>
        <v>PROFIT</v>
      </c>
      <c r="O34" s="15">
        <f>Vanzari!$M34-Vanzari!$L34</f>
        <v>692.18900000000008</v>
      </c>
      <c r="P34" s="15" cm="1">
        <f t="array" ref="P34">ProfitImpozitat(Vanzari!$O34)</f>
        <v>657.57955000000004</v>
      </c>
    </row>
    <row r="35" spans="1:16" x14ac:dyDescent="0.2">
      <c r="A35" s="14">
        <v>44754</v>
      </c>
      <c r="B35" s="7" t="s">
        <v>5</v>
      </c>
      <c r="C35" s="7" t="s">
        <v>5</v>
      </c>
      <c r="D35" s="7" t="s">
        <v>51</v>
      </c>
      <c r="E35" s="7" t="s">
        <v>9</v>
      </c>
      <c r="F35" s="7">
        <v>40</v>
      </c>
      <c r="G35" s="15">
        <v>9.6199999999999992</v>
      </c>
      <c r="H35" s="15">
        <v>26.51</v>
      </c>
      <c r="I35" s="15" t="str">
        <f>IF(Vanzari!$D35="Băuturi alcoolice şi ţigări","ACCIZA","TVA")</f>
        <v>ACCIZA</v>
      </c>
      <c r="J35" s="15">
        <f>IF(Vanzari!$D35="Băuturi alcoolice şi ţigări",Vanzari!$H35*0.05,Vanzari!$H35*0.09)</f>
        <v>1.3255000000000001</v>
      </c>
      <c r="K35" s="15">
        <f>SUM(Vanzari!$H35,Vanzari!$J35)</f>
        <v>27.835500000000003</v>
      </c>
      <c r="L35" s="15">
        <f>Vanzari!$F35*Vanzari!$G35</f>
        <v>384.79999999999995</v>
      </c>
      <c r="M35" s="15">
        <f>Vanzari!$F35*Vanzari!$K35</f>
        <v>1113.42</v>
      </c>
      <c r="N35" s="15" t="str">
        <f>IF(Vanzari!$M35&gt;Vanzari!$L35,"PROFIT","PIERDERE")</f>
        <v>PROFIT</v>
      </c>
      <c r="O35" s="15">
        <f>Vanzari!$M35-Vanzari!$L35</f>
        <v>728.62000000000012</v>
      </c>
      <c r="P35" s="15" cm="1">
        <f t="array" ref="P35">ProfitImpozitat(Vanzari!$O35)</f>
        <v>692.18900000000008</v>
      </c>
    </row>
    <row r="36" spans="1:16" x14ac:dyDescent="0.2">
      <c r="A36" s="14">
        <v>44883</v>
      </c>
      <c r="B36" s="7" t="s">
        <v>5</v>
      </c>
      <c r="C36" s="7" t="s">
        <v>5</v>
      </c>
      <c r="D36" s="7" t="s">
        <v>51</v>
      </c>
      <c r="E36" s="7" t="s">
        <v>55</v>
      </c>
      <c r="F36" s="7">
        <v>34</v>
      </c>
      <c r="G36" s="15">
        <v>9.6199999999999992</v>
      </c>
      <c r="H36" s="15">
        <v>29.8</v>
      </c>
      <c r="I36" s="15" t="str">
        <f>IF(Vanzari!$D36="Băuturi alcoolice şi ţigări","ACCIZA","TVA")</f>
        <v>ACCIZA</v>
      </c>
      <c r="J36" s="15">
        <f>IF(Vanzari!$D36="Băuturi alcoolice şi ţigări",Vanzari!$H36*0.05,Vanzari!$H36*0.09)</f>
        <v>1.4900000000000002</v>
      </c>
      <c r="K36" s="15">
        <f>SUM(Vanzari!$H36,Vanzari!$J36)</f>
        <v>31.29</v>
      </c>
      <c r="L36" s="15">
        <f>Vanzari!$F36*Vanzari!$G36</f>
        <v>327.08</v>
      </c>
      <c r="M36" s="15">
        <f>Vanzari!$F36*Vanzari!$K36</f>
        <v>1063.8599999999999</v>
      </c>
      <c r="N36" s="15" t="str">
        <f>IF(Vanzari!$M36&gt;Vanzari!$L36,"PROFIT","PIERDERE")</f>
        <v>PROFIT</v>
      </c>
      <c r="O36" s="15">
        <f>Vanzari!$M36-Vanzari!$L36</f>
        <v>736.78</v>
      </c>
      <c r="P36" s="15" cm="1">
        <f t="array" ref="P36">ProfitImpozitat(Vanzari!$O36)</f>
        <v>699.94100000000003</v>
      </c>
    </row>
    <row r="37" spans="1:16" x14ac:dyDescent="0.2">
      <c r="A37" s="14">
        <v>44913</v>
      </c>
      <c r="B37" s="7" t="s">
        <v>6</v>
      </c>
      <c r="C37" s="7" t="s">
        <v>59</v>
      </c>
      <c r="D37" s="7" t="s">
        <v>51</v>
      </c>
      <c r="E37" s="7" t="s">
        <v>55</v>
      </c>
      <c r="F37" s="7">
        <v>34</v>
      </c>
      <c r="G37" s="15">
        <v>9.6199999999999992</v>
      </c>
      <c r="H37" s="15">
        <v>29.8</v>
      </c>
      <c r="I37" s="15" t="str">
        <f>IF(Vanzari!$D37="Băuturi alcoolice şi ţigări","ACCIZA","TVA")</f>
        <v>ACCIZA</v>
      </c>
      <c r="J37" s="15">
        <f>IF(Vanzari!$D37="Băuturi alcoolice şi ţigări",Vanzari!$H37*0.05,Vanzari!$H37*0.09)</f>
        <v>1.4900000000000002</v>
      </c>
      <c r="K37" s="15">
        <f>SUM(Vanzari!$H37,Vanzari!$J37)</f>
        <v>31.29</v>
      </c>
      <c r="L37" s="15">
        <f>Vanzari!$F37*Vanzari!$G37</f>
        <v>327.08</v>
      </c>
      <c r="M37" s="15">
        <f>Vanzari!$F37*Vanzari!$K37</f>
        <v>1063.8599999999999</v>
      </c>
      <c r="N37" s="15" t="str">
        <f>IF(Vanzari!$M37&gt;Vanzari!$L37,"PROFIT","PIERDERE")</f>
        <v>PROFIT</v>
      </c>
      <c r="O37" s="15">
        <f>Vanzari!$M37-Vanzari!$L37</f>
        <v>736.78</v>
      </c>
      <c r="P37" s="15" cm="1">
        <f t="array" ref="P37">ProfitImpozitat(Vanzari!$O37)</f>
        <v>699.94100000000003</v>
      </c>
    </row>
    <row r="38" spans="1:16" x14ac:dyDescent="0.2">
      <c r="A38" s="14">
        <v>44796</v>
      </c>
      <c r="B38" s="7" t="s">
        <v>5</v>
      </c>
      <c r="C38" s="7" t="s">
        <v>5</v>
      </c>
      <c r="D38" s="7" t="s">
        <v>51</v>
      </c>
      <c r="E38" s="7" t="s">
        <v>9</v>
      </c>
      <c r="F38" s="7">
        <v>41</v>
      </c>
      <c r="G38" s="15">
        <v>9.6199999999999992</v>
      </c>
      <c r="H38" s="15">
        <v>26.51</v>
      </c>
      <c r="I38" s="15" t="str">
        <f>IF(Vanzari!$D38="Băuturi alcoolice şi ţigări","ACCIZA","TVA")</f>
        <v>ACCIZA</v>
      </c>
      <c r="J38" s="15">
        <f>IF(Vanzari!$D38="Băuturi alcoolice şi ţigări",Vanzari!$H38*0.05,Vanzari!$H38*0.09)</f>
        <v>1.3255000000000001</v>
      </c>
      <c r="K38" s="15">
        <f>SUM(Vanzari!$H38,Vanzari!$J38)</f>
        <v>27.835500000000003</v>
      </c>
      <c r="L38" s="15">
        <f>Vanzari!$F38*Vanzari!$G38</f>
        <v>394.41999999999996</v>
      </c>
      <c r="M38" s="15">
        <f>Vanzari!$F38*Vanzari!$K38</f>
        <v>1141.2555000000002</v>
      </c>
      <c r="N38" s="15" t="str">
        <f>IF(Vanzari!$M38&gt;Vanzari!$L38,"PROFIT","PIERDERE")</f>
        <v>PROFIT</v>
      </c>
      <c r="O38" s="15">
        <f>Vanzari!$M38-Vanzari!$L38</f>
        <v>746.83550000000025</v>
      </c>
      <c r="P38" s="15" cm="1">
        <f t="array" ref="P38">ProfitImpozitat(Vanzari!$O38)</f>
        <v>709.49372500000027</v>
      </c>
    </row>
    <row r="39" spans="1:16" x14ac:dyDescent="0.2">
      <c r="A39" s="14">
        <v>44682</v>
      </c>
      <c r="B39" s="7" t="s">
        <v>1</v>
      </c>
      <c r="C39" s="7" t="s">
        <v>0</v>
      </c>
      <c r="D39" s="7" t="s">
        <v>51</v>
      </c>
      <c r="E39" s="7" t="s">
        <v>13</v>
      </c>
      <c r="F39" s="7">
        <v>77</v>
      </c>
      <c r="G39" s="15">
        <v>40.119999999999997</v>
      </c>
      <c r="H39" s="15">
        <v>47.62</v>
      </c>
      <c r="I39" s="15" t="str">
        <f>IF(Vanzari!$D39="Băuturi alcoolice şi ţigări","ACCIZA","TVA")</f>
        <v>ACCIZA</v>
      </c>
      <c r="J39" s="15">
        <f>IF(Vanzari!$D39="Băuturi alcoolice şi ţigări",Vanzari!$H39*0.05,Vanzari!$H39*0.09)</f>
        <v>2.3809999999999998</v>
      </c>
      <c r="K39" s="15">
        <f>SUM(Vanzari!$H39,Vanzari!$J39)</f>
        <v>50.000999999999998</v>
      </c>
      <c r="L39" s="15">
        <f>Vanzari!$F39*Vanzari!$G39</f>
        <v>3089.24</v>
      </c>
      <c r="M39" s="15">
        <f>Vanzari!$F39*Vanzari!$K39</f>
        <v>3850.0769999999998</v>
      </c>
      <c r="N39" s="15" t="str">
        <f>IF(Vanzari!$M39&gt;Vanzari!$L39,"PROFIT","PIERDERE")</f>
        <v>PROFIT</v>
      </c>
      <c r="O39" s="15">
        <f>Vanzari!$M39-Vanzari!$L39</f>
        <v>760.83699999999999</v>
      </c>
      <c r="P39" s="15" cm="1">
        <f t="array" ref="P39">ProfitImpozitat(Vanzari!$O39)</f>
        <v>722.79515000000004</v>
      </c>
    </row>
    <row r="40" spans="1:16" x14ac:dyDescent="0.2">
      <c r="A40" s="14">
        <v>44497</v>
      </c>
      <c r="B40" s="7" t="s">
        <v>6</v>
      </c>
      <c r="C40" s="7" t="s">
        <v>59</v>
      </c>
      <c r="D40" s="7" t="s">
        <v>51</v>
      </c>
      <c r="E40" s="7" t="s">
        <v>20</v>
      </c>
      <c r="F40" s="7">
        <v>49</v>
      </c>
      <c r="G40" s="15">
        <v>5</v>
      </c>
      <c r="H40" s="15">
        <v>20</v>
      </c>
      <c r="I40" s="15" t="str">
        <f>IF(Vanzari!$D40="Băuturi alcoolice şi ţigări","ACCIZA","TVA")</f>
        <v>ACCIZA</v>
      </c>
      <c r="J40" s="15">
        <f>IF(Vanzari!$D40="Băuturi alcoolice şi ţigări",Vanzari!$H40*0.05,Vanzari!$H40*0.09)</f>
        <v>1</v>
      </c>
      <c r="K40" s="15">
        <f>SUM(Vanzari!$H40,Vanzari!$J40)</f>
        <v>21</v>
      </c>
      <c r="L40" s="15">
        <f>Vanzari!$F40*Vanzari!$G40</f>
        <v>245</v>
      </c>
      <c r="M40" s="15">
        <f>Vanzari!$F40*Vanzari!$K40</f>
        <v>1029</v>
      </c>
      <c r="N40" s="15" t="str">
        <f>IF(Vanzari!$M40&gt;Vanzari!$L40,"PROFIT","PIERDERE")</f>
        <v>PROFIT</v>
      </c>
      <c r="O40" s="15">
        <f>Vanzari!$M40-Vanzari!$L40</f>
        <v>784</v>
      </c>
      <c r="P40" s="15" cm="1">
        <f t="array" ref="P40">ProfitImpozitat(Vanzari!$O40)</f>
        <v>744.8</v>
      </c>
    </row>
    <row r="41" spans="1:16" x14ac:dyDescent="0.2">
      <c r="A41" s="14">
        <v>44694</v>
      </c>
      <c r="B41" s="7" t="s">
        <v>60</v>
      </c>
      <c r="C41" s="7" t="s">
        <v>60</v>
      </c>
      <c r="D41" s="7" t="s">
        <v>51</v>
      </c>
      <c r="E41" s="7" t="s">
        <v>13</v>
      </c>
      <c r="F41" s="7">
        <v>82</v>
      </c>
      <c r="G41" s="15">
        <v>40.119999999999997</v>
      </c>
      <c r="H41" s="15">
        <v>47.62</v>
      </c>
      <c r="I41" s="15" t="str">
        <f>IF(Vanzari!$D41="Băuturi alcoolice şi ţigări","ACCIZA","TVA")</f>
        <v>ACCIZA</v>
      </c>
      <c r="J41" s="15">
        <f>IF(Vanzari!$D41="Băuturi alcoolice şi ţigări",Vanzari!$H41*0.05,Vanzari!$H41*0.09)</f>
        <v>2.3809999999999998</v>
      </c>
      <c r="K41" s="15">
        <f>SUM(Vanzari!$H41,Vanzari!$J41)</f>
        <v>50.000999999999998</v>
      </c>
      <c r="L41" s="15">
        <f>Vanzari!$F41*Vanzari!$G41</f>
        <v>3289.8399999999997</v>
      </c>
      <c r="M41" s="15">
        <f>Vanzari!$F41*Vanzari!$K41</f>
        <v>4100.0819999999994</v>
      </c>
      <c r="N41" s="15" t="str">
        <f>IF(Vanzari!$M41&gt;Vanzari!$L41,"PROFIT","PIERDERE")</f>
        <v>PROFIT</v>
      </c>
      <c r="O41" s="15">
        <f>Vanzari!$M41-Vanzari!$L41</f>
        <v>810.24199999999973</v>
      </c>
      <c r="P41" s="15" cm="1">
        <f t="array" ref="P41">ProfitImpozitat(Vanzari!$O41)</f>
        <v>769.7298999999997</v>
      </c>
    </row>
    <row r="42" spans="1:16" x14ac:dyDescent="0.2">
      <c r="A42" s="14">
        <v>44377</v>
      </c>
      <c r="B42" s="7" t="s">
        <v>5</v>
      </c>
      <c r="C42" s="7" t="s">
        <v>5</v>
      </c>
      <c r="D42" s="7" t="s">
        <v>51</v>
      </c>
      <c r="E42" s="7" t="s">
        <v>54</v>
      </c>
      <c r="F42" s="7">
        <v>51</v>
      </c>
      <c r="G42" s="15">
        <v>5</v>
      </c>
      <c r="H42" s="15">
        <v>20</v>
      </c>
      <c r="I42" s="15" t="str">
        <f>IF(Vanzari!$D42="Băuturi alcoolice şi ţigări","ACCIZA","TVA")</f>
        <v>ACCIZA</v>
      </c>
      <c r="J42" s="15">
        <f>IF(Vanzari!$D42="Băuturi alcoolice şi ţigări",Vanzari!$H42*0.05,Vanzari!$H42*0.09)</f>
        <v>1</v>
      </c>
      <c r="K42" s="15">
        <f>SUM(Vanzari!$H42,Vanzari!$J42)</f>
        <v>21</v>
      </c>
      <c r="L42" s="15">
        <f>Vanzari!$F42*Vanzari!$G42</f>
        <v>255</v>
      </c>
      <c r="M42" s="15">
        <f>Vanzari!$F42*Vanzari!$K42</f>
        <v>1071</v>
      </c>
      <c r="N42" s="15" t="str">
        <f>IF(Vanzari!$M42&gt;Vanzari!$L42,"PROFIT","PIERDERE")</f>
        <v>PROFIT</v>
      </c>
      <c r="O42" s="15">
        <f>Vanzari!$M42-Vanzari!$L42</f>
        <v>816</v>
      </c>
      <c r="P42" s="15" cm="1">
        <f t="array" ref="P42">ProfitImpozitat(Vanzari!$O42)</f>
        <v>775.2</v>
      </c>
    </row>
    <row r="43" spans="1:16" x14ac:dyDescent="0.2">
      <c r="A43" s="14">
        <v>44826</v>
      </c>
      <c r="B43" s="7" t="s">
        <v>6</v>
      </c>
      <c r="C43" s="7" t="s">
        <v>59</v>
      </c>
      <c r="D43" s="7" t="s">
        <v>51</v>
      </c>
      <c r="E43" s="7" t="s">
        <v>55</v>
      </c>
      <c r="F43" s="7">
        <v>40</v>
      </c>
      <c r="G43" s="15">
        <v>9.6199999999999992</v>
      </c>
      <c r="H43" s="15">
        <v>29.8</v>
      </c>
      <c r="I43" s="15" t="str">
        <f>IF(Vanzari!$D43="Băuturi alcoolice şi ţigări","ACCIZA","TVA")</f>
        <v>ACCIZA</v>
      </c>
      <c r="J43" s="15">
        <f>IF(Vanzari!$D43="Băuturi alcoolice şi ţigări",Vanzari!$H43*0.05,Vanzari!$H43*0.09)</f>
        <v>1.4900000000000002</v>
      </c>
      <c r="K43" s="15">
        <f>SUM(Vanzari!$H43,Vanzari!$J43)</f>
        <v>31.29</v>
      </c>
      <c r="L43" s="15">
        <f>Vanzari!$F43*Vanzari!$G43</f>
        <v>384.79999999999995</v>
      </c>
      <c r="M43" s="15">
        <f>Vanzari!$F43*Vanzari!$K43</f>
        <v>1251.5999999999999</v>
      </c>
      <c r="N43" s="15" t="str">
        <f>IF(Vanzari!$M43&gt;Vanzari!$L43,"PROFIT","PIERDERE")</f>
        <v>PROFIT</v>
      </c>
      <c r="O43" s="15">
        <f>Vanzari!$M43-Vanzari!$L43</f>
        <v>866.8</v>
      </c>
      <c r="P43" s="15" cm="1">
        <f t="array" ref="P43">ProfitImpozitat(Vanzari!$O43)</f>
        <v>823.45999999999992</v>
      </c>
    </row>
    <row r="44" spans="1:16" x14ac:dyDescent="0.2">
      <c r="A44" s="14">
        <v>44338</v>
      </c>
      <c r="B44" s="7" t="s">
        <v>60</v>
      </c>
      <c r="C44" s="7" t="s">
        <v>60</v>
      </c>
      <c r="D44" s="7" t="s">
        <v>51</v>
      </c>
      <c r="E44" s="7" t="s">
        <v>54</v>
      </c>
      <c r="F44" s="7">
        <v>55</v>
      </c>
      <c r="G44" s="15">
        <v>5</v>
      </c>
      <c r="H44" s="15">
        <v>20</v>
      </c>
      <c r="I44" s="15" t="str">
        <f>IF(Vanzari!$D44="Băuturi alcoolice şi ţigări","ACCIZA","TVA")</f>
        <v>ACCIZA</v>
      </c>
      <c r="J44" s="15">
        <f>IF(Vanzari!$D44="Băuturi alcoolice şi ţigări",Vanzari!$H44*0.05,Vanzari!$H44*0.09)</f>
        <v>1</v>
      </c>
      <c r="K44" s="15">
        <f>SUM(Vanzari!$H44,Vanzari!$J44)</f>
        <v>21</v>
      </c>
      <c r="L44" s="15">
        <f>Vanzari!$F44*Vanzari!$G44</f>
        <v>275</v>
      </c>
      <c r="M44" s="15">
        <f>Vanzari!$F44*Vanzari!$K44</f>
        <v>1155</v>
      </c>
      <c r="N44" s="15" t="str">
        <f>IF(Vanzari!$M44&gt;Vanzari!$L44,"PROFIT","PIERDERE")</f>
        <v>PROFIT</v>
      </c>
      <c r="O44" s="15">
        <f>Vanzari!$M44-Vanzari!$L44</f>
        <v>880</v>
      </c>
      <c r="P44" s="15" cm="1">
        <f t="array" ref="P44">ProfitImpozitat(Vanzari!$O44)</f>
        <v>836</v>
      </c>
    </row>
    <row r="45" spans="1:16" x14ac:dyDescent="0.2">
      <c r="A45" s="14">
        <v>44398</v>
      </c>
      <c r="B45" s="7" t="s">
        <v>5</v>
      </c>
      <c r="C45" s="7" t="s">
        <v>5</v>
      </c>
      <c r="D45" s="7" t="s">
        <v>51</v>
      </c>
      <c r="E45" s="7" t="s">
        <v>54</v>
      </c>
      <c r="F45" s="7">
        <v>56</v>
      </c>
      <c r="G45" s="15">
        <v>5</v>
      </c>
      <c r="H45" s="15">
        <v>20</v>
      </c>
      <c r="I45" s="15" t="str">
        <f>IF(Vanzari!$D45="Băuturi alcoolice şi ţigări","ACCIZA","TVA")</f>
        <v>ACCIZA</v>
      </c>
      <c r="J45" s="15">
        <f>IF(Vanzari!$D45="Băuturi alcoolice şi ţigări",Vanzari!$H45*0.05,Vanzari!$H45*0.09)</f>
        <v>1</v>
      </c>
      <c r="K45" s="15">
        <f>SUM(Vanzari!$H45,Vanzari!$J45)</f>
        <v>21</v>
      </c>
      <c r="L45" s="15">
        <f>Vanzari!$F45*Vanzari!$G45</f>
        <v>280</v>
      </c>
      <c r="M45" s="15">
        <f>Vanzari!$F45*Vanzari!$K45</f>
        <v>1176</v>
      </c>
      <c r="N45" s="15" t="str">
        <f>IF(Vanzari!$M45&gt;Vanzari!$L45,"PROFIT","PIERDERE")</f>
        <v>PROFIT</v>
      </c>
      <c r="O45" s="15">
        <f>Vanzari!$M45-Vanzari!$L45</f>
        <v>896</v>
      </c>
      <c r="P45" s="15" cm="1">
        <f t="array" ref="P45">ProfitImpozitat(Vanzari!$O45)</f>
        <v>851.2</v>
      </c>
    </row>
    <row r="46" spans="1:16" x14ac:dyDescent="0.2">
      <c r="A46" s="14">
        <v>44925</v>
      </c>
      <c r="B46" s="7" t="s">
        <v>1</v>
      </c>
      <c r="C46" s="7" t="s">
        <v>0</v>
      </c>
      <c r="D46" s="7" t="s">
        <v>51</v>
      </c>
      <c r="E46" s="7" t="s">
        <v>55</v>
      </c>
      <c r="F46" s="7">
        <v>44</v>
      </c>
      <c r="G46" s="15">
        <v>9.6199999999999992</v>
      </c>
      <c r="H46" s="15">
        <v>29.8</v>
      </c>
      <c r="I46" s="15" t="str">
        <f>IF(Vanzari!$D46="Băuturi alcoolice şi ţigări","ACCIZA","TVA")</f>
        <v>ACCIZA</v>
      </c>
      <c r="J46" s="15">
        <f>IF(Vanzari!$D46="Băuturi alcoolice şi ţigări",Vanzari!$H46*0.05,Vanzari!$H46*0.09)</f>
        <v>1.4900000000000002</v>
      </c>
      <c r="K46" s="15">
        <f>SUM(Vanzari!$H46,Vanzari!$J46)</f>
        <v>31.29</v>
      </c>
      <c r="L46" s="15">
        <f>Vanzari!$F46*Vanzari!$G46</f>
        <v>423.28</v>
      </c>
      <c r="M46" s="16">
        <f>Vanzari!$F46*Vanzari!$K46</f>
        <v>1376.76</v>
      </c>
      <c r="N46" s="16" t="str">
        <f>IF(Vanzari!$M46&gt;Vanzari!$L46,"PROFIT","PIERDERE")</f>
        <v>PROFIT</v>
      </c>
      <c r="O46" s="15">
        <f>Vanzari!$M46-Vanzari!$L46</f>
        <v>953.48</v>
      </c>
      <c r="P46" s="15" cm="1">
        <f t="array" ref="P46">ProfitImpozitat(Vanzari!$O46)</f>
        <v>905.80600000000004</v>
      </c>
    </row>
    <row r="47" spans="1:16" x14ac:dyDescent="0.2">
      <c r="A47" s="14">
        <v>44587</v>
      </c>
      <c r="B47" s="7" t="s">
        <v>6</v>
      </c>
      <c r="C47" s="7" t="s">
        <v>59</v>
      </c>
      <c r="D47" s="7" t="s">
        <v>51</v>
      </c>
      <c r="E47" s="7" t="s">
        <v>16</v>
      </c>
      <c r="F47" s="7">
        <v>52</v>
      </c>
      <c r="G47" s="15">
        <v>37.909999999999997</v>
      </c>
      <c r="H47" s="15">
        <v>54.32</v>
      </c>
      <c r="I47" s="15" t="str">
        <f>IF(Vanzari!$D47="Băuturi alcoolice şi ţigări","ACCIZA","TVA")</f>
        <v>ACCIZA</v>
      </c>
      <c r="J47" s="15">
        <f>IF(Vanzari!$D47="Băuturi alcoolice şi ţigări",Vanzari!$H47*0.05,Vanzari!$H47*0.09)</f>
        <v>2.7160000000000002</v>
      </c>
      <c r="K47" s="15">
        <f>SUM(Vanzari!$H47,Vanzari!$J47)</f>
        <v>57.036000000000001</v>
      </c>
      <c r="L47" s="15">
        <f>Vanzari!$F47*Vanzari!$G47</f>
        <v>1971.3199999999997</v>
      </c>
      <c r="M47" s="15">
        <f>Vanzari!$F47*Vanzari!$K47</f>
        <v>2965.8720000000003</v>
      </c>
      <c r="N47" s="15" t="str">
        <f>IF(Vanzari!$M47&gt;Vanzari!$L47,"PROFIT","PIERDERE")</f>
        <v>PROFIT</v>
      </c>
      <c r="O47" s="15">
        <f>Vanzari!$M47-Vanzari!$L47</f>
        <v>994.55200000000059</v>
      </c>
      <c r="P47" s="15" cm="1">
        <f t="array" ref="P47">ProfitImpozitat(Vanzari!$O47)</f>
        <v>944.82440000000054</v>
      </c>
    </row>
    <row r="48" spans="1:16" x14ac:dyDescent="0.2">
      <c r="A48" s="14">
        <v>44317</v>
      </c>
      <c r="B48" s="7" t="s">
        <v>60</v>
      </c>
      <c r="C48" s="7" t="s">
        <v>60</v>
      </c>
      <c r="D48" s="7" t="s">
        <v>51</v>
      </c>
      <c r="E48" s="7" t="s">
        <v>26</v>
      </c>
      <c r="F48" s="7">
        <v>63</v>
      </c>
      <c r="G48" s="15">
        <v>5</v>
      </c>
      <c r="H48" s="15">
        <v>20</v>
      </c>
      <c r="I48" s="15" t="str">
        <f>IF(Vanzari!$D48="Băuturi alcoolice şi ţigări","ACCIZA","TVA")</f>
        <v>ACCIZA</v>
      </c>
      <c r="J48" s="15">
        <f>IF(Vanzari!$D48="Băuturi alcoolice şi ţigări",Vanzari!$H48*0.05,Vanzari!$H48*0.09)</f>
        <v>1</v>
      </c>
      <c r="K48" s="15">
        <f>SUM(Vanzari!$H48,Vanzari!$J48)</f>
        <v>21</v>
      </c>
      <c r="L48" s="15">
        <f>Vanzari!$F48*Vanzari!$G48</f>
        <v>315</v>
      </c>
      <c r="M48" s="15">
        <f>Vanzari!$F48*Vanzari!$K48</f>
        <v>1323</v>
      </c>
      <c r="N48" s="15" t="str">
        <f>IF(Vanzari!$M48&gt;Vanzari!$L48,"PROFIT","PIERDERE")</f>
        <v>PROFIT</v>
      </c>
      <c r="O48" s="15">
        <f>Vanzari!$M48-Vanzari!$L48</f>
        <v>1008</v>
      </c>
      <c r="P48" s="15" cm="1">
        <f t="array" ref="P48">ProfitImpozitat(Vanzari!$O48)</f>
        <v>957.6</v>
      </c>
    </row>
    <row r="49" spans="1:16" x14ac:dyDescent="0.2">
      <c r="A49" s="14">
        <v>44838</v>
      </c>
      <c r="B49" s="7" t="s">
        <v>1</v>
      </c>
      <c r="C49" s="7" t="s">
        <v>0</v>
      </c>
      <c r="D49" s="7" t="s">
        <v>51</v>
      </c>
      <c r="E49" s="7" t="s">
        <v>55</v>
      </c>
      <c r="F49" s="7">
        <v>47</v>
      </c>
      <c r="G49" s="15">
        <v>9.6199999999999992</v>
      </c>
      <c r="H49" s="15">
        <v>29.8</v>
      </c>
      <c r="I49" s="15" t="str">
        <f>IF(Vanzari!$D49="Băuturi alcoolice şi ţigări","ACCIZA","TVA")</f>
        <v>ACCIZA</v>
      </c>
      <c r="J49" s="15">
        <f>IF(Vanzari!$D49="Băuturi alcoolice şi ţigări",Vanzari!$H49*0.05,Vanzari!$H49*0.09)</f>
        <v>1.4900000000000002</v>
      </c>
      <c r="K49" s="15">
        <f>SUM(Vanzari!$H49,Vanzari!$J49)</f>
        <v>31.29</v>
      </c>
      <c r="L49" s="15">
        <f>Vanzari!$F49*Vanzari!$G49</f>
        <v>452.14</v>
      </c>
      <c r="M49" s="15">
        <f>Vanzari!$F49*Vanzari!$K49</f>
        <v>1470.6299999999999</v>
      </c>
      <c r="N49" s="15" t="str">
        <f>IF(Vanzari!$M49&gt;Vanzari!$L49,"PROFIT","PIERDERE")</f>
        <v>PROFIT</v>
      </c>
      <c r="O49" s="15">
        <f>Vanzari!$M49-Vanzari!$L49</f>
        <v>1018.4899999999999</v>
      </c>
      <c r="P49" s="15" cm="1">
        <f t="array" ref="P49">ProfitImpozitat(Vanzari!$O49)</f>
        <v>967.56549999999993</v>
      </c>
    </row>
    <row r="50" spans="1:16" x14ac:dyDescent="0.2">
      <c r="A50" s="14">
        <v>44461</v>
      </c>
      <c r="B50" s="7" t="s">
        <v>5</v>
      </c>
      <c r="C50" s="7" t="s">
        <v>5</v>
      </c>
      <c r="D50" s="7" t="s">
        <v>51</v>
      </c>
      <c r="E50" s="7" t="s">
        <v>20</v>
      </c>
      <c r="F50" s="7">
        <v>65</v>
      </c>
      <c r="G50" s="15">
        <v>5</v>
      </c>
      <c r="H50" s="15">
        <v>20</v>
      </c>
      <c r="I50" s="15" t="str">
        <f>IF(Vanzari!$D50="Băuturi alcoolice şi ţigări","ACCIZA","TVA")</f>
        <v>ACCIZA</v>
      </c>
      <c r="J50" s="15">
        <f>IF(Vanzari!$D50="Băuturi alcoolice şi ţigări",Vanzari!$H50*0.05,Vanzari!$H50*0.09)</f>
        <v>1</v>
      </c>
      <c r="K50" s="15">
        <f>SUM(Vanzari!$H50,Vanzari!$J50)</f>
        <v>21</v>
      </c>
      <c r="L50" s="15">
        <f>Vanzari!$F50*Vanzari!$G50</f>
        <v>325</v>
      </c>
      <c r="M50" s="15">
        <f>Vanzari!$F50*Vanzari!$K50</f>
        <v>1365</v>
      </c>
      <c r="N50" s="15" t="str">
        <f>IF(Vanzari!$M50&gt;Vanzari!$L50,"PROFIT","PIERDERE")</f>
        <v>PROFIT</v>
      </c>
      <c r="O50" s="15">
        <f>Vanzari!$M50-Vanzari!$L50</f>
        <v>1040</v>
      </c>
      <c r="P50" s="15" cm="1">
        <f t="array" ref="P50">ProfitImpozitat(Vanzari!$O50)</f>
        <v>988</v>
      </c>
    </row>
    <row r="51" spans="1:16" x14ac:dyDescent="0.2">
      <c r="A51" s="14">
        <v>44596</v>
      </c>
      <c r="B51" s="7" t="s">
        <v>1</v>
      </c>
      <c r="C51" s="7" t="s">
        <v>0</v>
      </c>
      <c r="D51" s="7" t="s">
        <v>51</v>
      </c>
      <c r="E51" s="7" t="s">
        <v>16</v>
      </c>
      <c r="F51" s="7">
        <v>58</v>
      </c>
      <c r="G51" s="15">
        <v>37.909999999999997</v>
      </c>
      <c r="H51" s="15">
        <v>54.32</v>
      </c>
      <c r="I51" s="15" t="str">
        <f>IF(Vanzari!$D51="Băuturi alcoolice şi ţigări","ACCIZA","TVA")</f>
        <v>ACCIZA</v>
      </c>
      <c r="J51" s="15">
        <f>IF(Vanzari!$D51="Băuturi alcoolice şi ţigări",Vanzari!$H51*0.05,Vanzari!$H51*0.09)</f>
        <v>2.7160000000000002</v>
      </c>
      <c r="K51" s="15">
        <f>SUM(Vanzari!$H51,Vanzari!$J51)</f>
        <v>57.036000000000001</v>
      </c>
      <c r="L51" s="15">
        <f>Vanzari!$F51*Vanzari!$G51</f>
        <v>2198.7799999999997</v>
      </c>
      <c r="M51" s="15">
        <f>Vanzari!$F51*Vanzari!$K51</f>
        <v>3308.0880000000002</v>
      </c>
      <c r="N51" s="15" t="str">
        <f>IF(Vanzari!$M51&gt;Vanzari!$L51,"PROFIT","PIERDERE")</f>
        <v>PROFIT</v>
      </c>
      <c r="O51" s="15">
        <f>Vanzari!$M51-Vanzari!$L51</f>
        <v>1109.3080000000004</v>
      </c>
      <c r="P51" s="15" cm="1">
        <f t="array" ref="P51">ProfitImpozitat(Vanzari!$O51)</f>
        <v>1053.8426000000004</v>
      </c>
    </row>
    <row r="52" spans="1:16" x14ac:dyDescent="0.2">
      <c r="A52" s="14">
        <v>44422</v>
      </c>
      <c r="B52" s="7" t="s">
        <v>60</v>
      </c>
      <c r="C52" s="7" t="s">
        <v>60</v>
      </c>
      <c r="D52" s="7" t="s">
        <v>51</v>
      </c>
      <c r="E52" s="7" t="s">
        <v>54</v>
      </c>
      <c r="F52" s="7">
        <v>70</v>
      </c>
      <c r="G52" s="15">
        <v>5</v>
      </c>
      <c r="H52" s="15">
        <v>20</v>
      </c>
      <c r="I52" s="15" t="str">
        <f>IF(Vanzari!$D52="Băuturi alcoolice şi ţigări","ACCIZA","TVA")</f>
        <v>ACCIZA</v>
      </c>
      <c r="J52" s="15">
        <f>IF(Vanzari!$D52="Băuturi alcoolice şi ţigări",Vanzari!$H52*0.05,Vanzari!$H52*0.09)</f>
        <v>1</v>
      </c>
      <c r="K52" s="15">
        <f>SUM(Vanzari!$H52,Vanzari!$J52)</f>
        <v>21</v>
      </c>
      <c r="L52" s="15">
        <f>Vanzari!$F52*Vanzari!$G52</f>
        <v>350</v>
      </c>
      <c r="M52" s="15">
        <f>Vanzari!$F52*Vanzari!$K52</f>
        <v>1470</v>
      </c>
      <c r="N52" s="15" t="str">
        <f>IF(Vanzari!$M52&gt;Vanzari!$L52,"PROFIT","PIERDERE")</f>
        <v>PROFIT</v>
      </c>
      <c r="O52" s="15">
        <f>Vanzari!$M52-Vanzari!$L52</f>
        <v>1120</v>
      </c>
      <c r="P52" s="15" cm="1">
        <f t="array" ref="P52">ProfitImpozitat(Vanzari!$O52)</f>
        <v>1064</v>
      </c>
    </row>
    <row r="53" spans="1:16" x14ac:dyDescent="0.2">
      <c r="A53" s="14">
        <v>44772</v>
      </c>
      <c r="B53" s="7" t="s">
        <v>1</v>
      </c>
      <c r="C53" s="7" t="s">
        <v>0</v>
      </c>
      <c r="D53" s="7" t="s">
        <v>51</v>
      </c>
      <c r="E53" s="7" t="s">
        <v>9</v>
      </c>
      <c r="F53" s="7">
        <v>64</v>
      </c>
      <c r="G53" s="15">
        <v>9.6199999999999992</v>
      </c>
      <c r="H53" s="15">
        <v>26.51</v>
      </c>
      <c r="I53" s="15" t="str">
        <f>IF(Vanzari!$D53="Băuturi alcoolice şi ţigări","ACCIZA","TVA")</f>
        <v>ACCIZA</v>
      </c>
      <c r="J53" s="15">
        <f>IF(Vanzari!$D53="Băuturi alcoolice şi ţigări",Vanzari!$H53*0.05,Vanzari!$H53*0.09)</f>
        <v>1.3255000000000001</v>
      </c>
      <c r="K53" s="15">
        <f>SUM(Vanzari!$H53,Vanzari!$J53)</f>
        <v>27.835500000000003</v>
      </c>
      <c r="L53" s="15">
        <f>Vanzari!$F53*Vanzari!$G53</f>
        <v>615.67999999999995</v>
      </c>
      <c r="M53" s="15">
        <f>Vanzari!$F53*Vanzari!$K53</f>
        <v>1781.4720000000002</v>
      </c>
      <c r="N53" s="15" t="str">
        <f>IF(Vanzari!$M53&gt;Vanzari!$L53,"PROFIT","PIERDERE")</f>
        <v>PROFIT</v>
      </c>
      <c r="O53" s="15">
        <f>Vanzari!$M53-Vanzari!$L53</f>
        <v>1165.7920000000004</v>
      </c>
      <c r="P53" s="15" cm="1">
        <f t="array" ref="P53">ProfitImpozitat(Vanzari!$O53)</f>
        <v>1107.5024000000003</v>
      </c>
    </row>
    <row r="54" spans="1:16" x14ac:dyDescent="0.2">
      <c r="A54" s="14">
        <v>44440</v>
      </c>
      <c r="B54" s="7" t="s">
        <v>5</v>
      </c>
      <c r="C54" s="7" t="s">
        <v>5</v>
      </c>
      <c r="D54" s="7" t="s">
        <v>51</v>
      </c>
      <c r="E54" s="7" t="s">
        <v>20</v>
      </c>
      <c r="F54" s="7">
        <v>74</v>
      </c>
      <c r="G54" s="15">
        <v>5</v>
      </c>
      <c r="H54" s="15">
        <v>20</v>
      </c>
      <c r="I54" s="15" t="str">
        <f>IF(Vanzari!$D54="Băuturi alcoolice şi ţigări","ACCIZA","TVA")</f>
        <v>ACCIZA</v>
      </c>
      <c r="J54" s="15">
        <f>IF(Vanzari!$D54="Băuturi alcoolice şi ţigări",Vanzari!$H54*0.05,Vanzari!$H54*0.09)</f>
        <v>1</v>
      </c>
      <c r="K54" s="15">
        <f>SUM(Vanzari!$H54,Vanzari!$J54)</f>
        <v>21</v>
      </c>
      <c r="L54" s="15">
        <f>Vanzari!$F54*Vanzari!$G54</f>
        <v>370</v>
      </c>
      <c r="M54" s="15">
        <f>Vanzari!$F54*Vanzari!$K54</f>
        <v>1554</v>
      </c>
      <c r="N54" s="15" t="str">
        <f>IF(Vanzari!$M54&gt;Vanzari!$L54,"PROFIT","PIERDERE")</f>
        <v>PROFIT</v>
      </c>
      <c r="O54" s="15">
        <f>Vanzari!$M54-Vanzari!$L54</f>
        <v>1184</v>
      </c>
      <c r="P54" s="15" cm="1">
        <f t="array" ref="P54">ProfitImpozitat(Vanzari!$O54)</f>
        <v>1124.8</v>
      </c>
    </row>
    <row r="55" spans="1:16" x14ac:dyDescent="0.2">
      <c r="A55" s="14">
        <v>44718</v>
      </c>
      <c r="B55" s="7" t="s">
        <v>6</v>
      </c>
      <c r="C55" s="7" t="s">
        <v>59</v>
      </c>
      <c r="D55" s="7" t="s">
        <v>51</v>
      </c>
      <c r="E55" s="7" t="s">
        <v>13</v>
      </c>
      <c r="F55" s="7">
        <v>120</v>
      </c>
      <c r="G55" s="15">
        <v>40.119999999999997</v>
      </c>
      <c r="H55" s="15">
        <v>47.62</v>
      </c>
      <c r="I55" s="15" t="str">
        <f>IF(Vanzari!$D55="Băuturi alcoolice şi ţigări","ACCIZA","TVA")</f>
        <v>ACCIZA</v>
      </c>
      <c r="J55" s="15">
        <f>IF(Vanzari!$D55="Băuturi alcoolice şi ţigări",Vanzari!$H55*0.05,Vanzari!$H55*0.09)</f>
        <v>2.3809999999999998</v>
      </c>
      <c r="K55" s="15">
        <f>SUM(Vanzari!$H55,Vanzari!$J55)</f>
        <v>50.000999999999998</v>
      </c>
      <c r="L55" s="15">
        <f>Vanzari!$F55*Vanzari!$G55</f>
        <v>4814.3999999999996</v>
      </c>
      <c r="M55" s="15">
        <f>Vanzari!$F55*Vanzari!$K55</f>
        <v>6000.12</v>
      </c>
      <c r="N55" s="15" t="str">
        <f>IF(Vanzari!$M55&gt;Vanzari!$L55,"PROFIT","PIERDERE")</f>
        <v>PROFIT</v>
      </c>
      <c r="O55" s="15">
        <f>Vanzari!$M55-Vanzari!$L55</f>
        <v>1185.7200000000003</v>
      </c>
      <c r="P55" s="15" cm="1">
        <f t="array" ref="P55">ProfitImpozitat(Vanzari!$O55)</f>
        <v>1126.4340000000002</v>
      </c>
    </row>
    <row r="56" spans="1:16" x14ac:dyDescent="0.2">
      <c r="A56" s="14">
        <v>44392</v>
      </c>
      <c r="B56" s="7" t="s">
        <v>1</v>
      </c>
      <c r="C56" s="7" t="s">
        <v>0</v>
      </c>
      <c r="D56" s="7" t="s">
        <v>51</v>
      </c>
      <c r="E56" s="7" t="s">
        <v>54</v>
      </c>
      <c r="F56" s="7">
        <v>75</v>
      </c>
      <c r="G56" s="15">
        <v>5</v>
      </c>
      <c r="H56" s="15">
        <v>20</v>
      </c>
      <c r="I56" s="15" t="str">
        <f>IF(Vanzari!$D56="Băuturi alcoolice şi ţigări","ACCIZA","TVA")</f>
        <v>ACCIZA</v>
      </c>
      <c r="J56" s="15">
        <f>IF(Vanzari!$D56="Băuturi alcoolice şi ţigări",Vanzari!$H56*0.05,Vanzari!$H56*0.09)</f>
        <v>1</v>
      </c>
      <c r="K56" s="15">
        <f>SUM(Vanzari!$H56,Vanzari!$J56)</f>
        <v>21</v>
      </c>
      <c r="L56" s="15">
        <f>Vanzari!$F56*Vanzari!$G56</f>
        <v>375</v>
      </c>
      <c r="M56" s="15">
        <f>Vanzari!$F56*Vanzari!$K56</f>
        <v>1575</v>
      </c>
      <c r="N56" s="15" t="str">
        <f>IF(Vanzari!$M56&gt;Vanzari!$L56,"PROFIT","PIERDERE")</f>
        <v>PROFIT</v>
      </c>
      <c r="O56" s="15">
        <f>Vanzari!$M56-Vanzari!$L56</f>
        <v>1200</v>
      </c>
      <c r="P56" s="15" cm="1">
        <f t="array" ref="P56">ProfitImpozitat(Vanzari!$O56)</f>
        <v>1140</v>
      </c>
    </row>
    <row r="57" spans="1:16" x14ac:dyDescent="0.2">
      <c r="A57" s="14">
        <v>44353</v>
      </c>
      <c r="B57" s="7" t="s">
        <v>5</v>
      </c>
      <c r="C57" s="7" t="s">
        <v>5</v>
      </c>
      <c r="D57" s="7" t="s">
        <v>51</v>
      </c>
      <c r="E57" s="7" t="s">
        <v>54</v>
      </c>
      <c r="F57" s="7">
        <v>76</v>
      </c>
      <c r="G57" s="15">
        <v>5</v>
      </c>
      <c r="H57" s="15">
        <v>20</v>
      </c>
      <c r="I57" s="15" t="str">
        <f>IF(Vanzari!$D57="Băuturi alcoolice şi ţigări","ACCIZA","TVA")</f>
        <v>ACCIZA</v>
      </c>
      <c r="J57" s="15">
        <f>IF(Vanzari!$D57="Băuturi alcoolice şi ţigări",Vanzari!$H57*0.05,Vanzari!$H57*0.09)</f>
        <v>1</v>
      </c>
      <c r="K57" s="15">
        <f>SUM(Vanzari!$H57,Vanzari!$J57)</f>
        <v>21</v>
      </c>
      <c r="L57" s="15">
        <f>Vanzari!$F57*Vanzari!$G57</f>
        <v>380</v>
      </c>
      <c r="M57" s="15">
        <f>Vanzari!$F57*Vanzari!$K57</f>
        <v>1596</v>
      </c>
      <c r="N57" s="15" t="str">
        <f>IF(Vanzari!$M57&gt;Vanzari!$L57,"PROFIT","PIERDERE")</f>
        <v>PROFIT</v>
      </c>
      <c r="O57" s="15">
        <f>Vanzari!$M57-Vanzari!$L57</f>
        <v>1216</v>
      </c>
      <c r="P57" s="15" cm="1">
        <f t="array" ref="P57">ProfitImpozitat(Vanzari!$O57)</f>
        <v>1155.2</v>
      </c>
    </row>
    <row r="58" spans="1:16" x14ac:dyDescent="0.2">
      <c r="A58" s="14">
        <v>44557</v>
      </c>
      <c r="B58" s="7" t="s">
        <v>5</v>
      </c>
      <c r="C58" s="7" t="s">
        <v>5</v>
      </c>
      <c r="D58" s="7" t="s">
        <v>51</v>
      </c>
      <c r="E58" s="7" t="s">
        <v>16</v>
      </c>
      <c r="F58" s="7">
        <v>65</v>
      </c>
      <c r="G58" s="15">
        <v>37.909999999999997</v>
      </c>
      <c r="H58" s="15">
        <v>54.32</v>
      </c>
      <c r="I58" s="15" t="str">
        <f>IF(Vanzari!$D58="Băuturi alcoolice şi ţigări","ACCIZA","TVA")</f>
        <v>ACCIZA</v>
      </c>
      <c r="J58" s="15">
        <f>IF(Vanzari!$D58="Băuturi alcoolice şi ţigări",Vanzari!$H58*0.05,Vanzari!$H58*0.09)</f>
        <v>2.7160000000000002</v>
      </c>
      <c r="K58" s="15">
        <f>SUM(Vanzari!$H58,Vanzari!$J58)</f>
        <v>57.036000000000001</v>
      </c>
      <c r="L58" s="15">
        <f>Vanzari!$F58*Vanzari!$G58</f>
        <v>2464.1499999999996</v>
      </c>
      <c r="M58" s="15">
        <f>Vanzari!$F58*Vanzari!$K58</f>
        <v>3707.34</v>
      </c>
      <c r="N58" s="15" t="str">
        <f>IF(Vanzari!$M58&gt;Vanzari!$L58,"PROFIT","PIERDERE")</f>
        <v>PROFIT</v>
      </c>
      <c r="O58" s="15">
        <f>Vanzari!$M58-Vanzari!$L58</f>
        <v>1243.1900000000005</v>
      </c>
      <c r="P58" s="15" cm="1">
        <f t="array" ref="P58">ProfitImpozitat(Vanzari!$O58)</f>
        <v>1181.0305000000005</v>
      </c>
    </row>
    <row r="59" spans="1:16" x14ac:dyDescent="0.2">
      <c r="A59" s="14">
        <v>44649</v>
      </c>
      <c r="B59" s="7" t="s">
        <v>5</v>
      </c>
      <c r="C59" s="7" t="s">
        <v>5</v>
      </c>
      <c r="D59" s="7" t="s">
        <v>51</v>
      </c>
      <c r="E59" s="7" t="s">
        <v>16</v>
      </c>
      <c r="F59" s="7">
        <v>65</v>
      </c>
      <c r="G59" s="15">
        <v>37.909999999999997</v>
      </c>
      <c r="H59" s="15">
        <v>54.32</v>
      </c>
      <c r="I59" s="15" t="str">
        <f>IF(Vanzari!$D59="Băuturi alcoolice şi ţigări","ACCIZA","TVA")</f>
        <v>ACCIZA</v>
      </c>
      <c r="J59" s="15">
        <f>IF(Vanzari!$D59="Băuturi alcoolice şi ţigări",Vanzari!$H59*0.05,Vanzari!$H59*0.09)</f>
        <v>2.7160000000000002</v>
      </c>
      <c r="K59" s="15">
        <f>SUM(Vanzari!$H59,Vanzari!$J59)</f>
        <v>57.036000000000001</v>
      </c>
      <c r="L59" s="15">
        <f>Vanzari!$F59*Vanzari!$G59</f>
        <v>2464.1499999999996</v>
      </c>
      <c r="M59" s="15">
        <f>Vanzari!$F59*Vanzari!$K59</f>
        <v>3707.34</v>
      </c>
      <c r="N59" s="15" t="str">
        <f>IF(Vanzari!$M59&gt;Vanzari!$L59,"PROFIT","PIERDERE")</f>
        <v>PROFIT</v>
      </c>
      <c r="O59" s="15">
        <f>Vanzari!$M59-Vanzari!$L59</f>
        <v>1243.1900000000005</v>
      </c>
      <c r="P59" s="15" cm="1">
        <f t="array" ref="P59">ProfitImpozitat(Vanzari!$O59)</f>
        <v>1181.0305000000005</v>
      </c>
    </row>
    <row r="60" spans="1:16" x14ac:dyDescent="0.2">
      <c r="A60" s="14">
        <v>44679</v>
      </c>
      <c r="B60" s="7" t="s">
        <v>6</v>
      </c>
      <c r="C60" s="7" t="s">
        <v>59</v>
      </c>
      <c r="D60" s="7" t="s">
        <v>51</v>
      </c>
      <c r="E60" s="7" t="s">
        <v>13</v>
      </c>
      <c r="F60" s="7">
        <v>129</v>
      </c>
      <c r="G60" s="15">
        <v>40.119999999999997</v>
      </c>
      <c r="H60" s="15">
        <v>47.62</v>
      </c>
      <c r="I60" s="15" t="str">
        <f>IF(Vanzari!$D60="Băuturi alcoolice şi ţigări","ACCIZA","TVA")</f>
        <v>ACCIZA</v>
      </c>
      <c r="J60" s="15">
        <f>IF(Vanzari!$D60="Băuturi alcoolice şi ţigări",Vanzari!$H60*0.05,Vanzari!$H60*0.09)</f>
        <v>2.3809999999999998</v>
      </c>
      <c r="K60" s="15">
        <f>SUM(Vanzari!$H60,Vanzari!$J60)</f>
        <v>50.000999999999998</v>
      </c>
      <c r="L60" s="15">
        <f>Vanzari!$F60*Vanzari!$G60</f>
        <v>5175.4799999999996</v>
      </c>
      <c r="M60" s="15">
        <f>Vanzari!$F60*Vanzari!$K60</f>
        <v>6450.1289999999999</v>
      </c>
      <c r="N60" s="15" t="str">
        <f>IF(Vanzari!$M60&gt;Vanzari!$L60,"PROFIT","PIERDERE")</f>
        <v>PROFIT</v>
      </c>
      <c r="O60" s="15">
        <f>Vanzari!$M60-Vanzari!$L60</f>
        <v>1274.6490000000003</v>
      </c>
      <c r="P60" s="15" cm="1">
        <f t="array" ref="P60">ProfitImpozitat(Vanzari!$O60)</f>
        <v>1210.9165500000004</v>
      </c>
    </row>
    <row r="61" spans="1:16" x14ac:dyDescent="0.2">
      <c r="A61" s="14">
        <v>44434</v>
      </c>
      <c r="B61" s="7" t="s">
        <v>1</v>
      </c>
      <c r="C61" s="7" t="s">
        <v>0</v>
      </c>
      <c r="D61" s="7" t="s">
        <v>51</v>
      </c>
      <c r="E61" s="7" t="s">
        <v>20</v>
      </c>
      <c r="F61" s="7">
        <v>80</v>
      </c>
      <c r="G61" s="15">
        <v>5</v>
      </c>
      <c r="H61" s="15">
        <v>20</v>
      </c>
      <c r="I61" s="15" t="str">
        <f>IF(Vanzari!$D61="Băuturi alcoolice şi ţigări","ACCIZA","TVA")</f>
        <v>ACCIZA</v>
      </c>
      <c r="J61" s="15">
        <f>IF(Vanzari!$D61="Băuturi alcoolice şi ţigări",Vanzari!$H61*0.05,Vanzari!$H61*0.09)</f>
        <v>1</v>
      </c>
      <c r="K61" s="15">
        <f>SUM(Vanzari!$H61,Vanzari!$J61)</f>
        <v>21</v>
      </c>
      <c r="L61" s="15">
        <f>Vanzari!$F61*Vanzari!$G61</f>
        <v>400</v>
      </c>
      <c r="M61" s="15">
        <f>Vanzari!$F61*Vanzari!$K61</f>
        <v>1680</v>
      </c>
      <c r="N61" s="15" t="str">
        <f>IF(Vanzari!$M61&gt;Vanzari!$L61,"PROFIT","PIERDERE")</f>
        <v>PROFIT</v>
      </c>
      <c r="O61" s="15">
        <f>Vanzari!$M61-Vanzari!$L61</f>
        <v>1280</v>
      </c>
      <c r="P61" s="15" cm="1">
        <f t="array" ref="P61">ProfitImpozitat(Vanzari!$O61)</f>
        <v>1216</v>
      </c>
    </row>
    <row r="62" spans="1:16" x14ac:dyDescent="0.2">
      <c r="A62" s="14">
        <v>44673</v>
      </c>
      <c r="B62" s="7" t="s">
        <v>60</v>
      </c>
      <c r="C62" s="7" t="s">
        <v>60</v>
      </c>
      <c r="D62" s="7" t="s">
        <v>51</v>
      </c>
      <c r="E62" s="7" t="s">
        <v>16</v>
      </c>
      <c r="F62" s="7">
        <v>67</v>
      </c>
      <c r="G62" s="15">
        <v>37.909999999999997</v>
      </c>
      <c r="H62" s="15">
        <v>54.32</v>
      </c>
      <c r="I62" s="15" t="str">
        <f>IF(Vanzari!$D62="Băuturi alcoolice şi ţigări","ACCIZA","TVA")</f>
        <v>ACCIZA</v>
      </c>
      <c r="J62" s="15">
        <f>IF(Vanzari!$D62="Băuturi alcoolice şi ţigări",Vanzari!$H62*0.05,Vanzari!$H62*0.09)</f>
        <v>2.7160000000000002</v>
      </c>
      <c r="K62" s="15">
        <f>SUM(Vanzari!$H62,Vanzari!$J62)</f>
        <v>57.036000000000001</v>
      </c>
      <c r="L62" s="15">
        <f>Vanzari!$F62*Vanzari!$G62</f>
        <v>2539.9699999999998</v>
      </c>
      <c r="M62" s="15">
        <f>Vanzari!$F62*Vanzari!$K62</f>
        <v>3821.4120000000003</v>
      </c>
      <c r="N62" s="15" t="str">
        <f>IF(Vanzari!$M62&gt;Vanzari!$L62,"PROFIT","PIERDERE")</f>
        <v>PROFIT</v>
      </c>
      <c r="O62" s="15">
        <f>Vanzari!$M62-Vanzari!$L62</f>
        <v>1281.4420000000005</v>
      </c>
      <c r="P62" s="15" cm="1">
        <f t="array" ref="P62">ProfitImpozitat(Vanzari!$O62)</f>
        <v>1217.3699000000004</v>
      </c>
    </row>
    <row r="63" spans="1:16" x14ac:dyDescent="0.2">
      <c r="A63" s="14">
        <v>44467</v>
      </c>
      <c r="B63" s="7" t="s">
        <v>6</v>
      </c>
      <c r="C63" s="7" t="s">
        <v>59</v>
      </c>
      <c r="D63" s="7" t="s">
        <v>51</v>
      </c>
      <c r="E63" s="7" t="s">
        <v>20</v>
      </c>
      <c r="F63" s="7">
        <v>81</v>
      </c>
      <c r="G63" s="15">
        <v>5</v>
      </c>
      <c r="H63" s="15">
        <v>20</v>
      </c>
      <c r="I63" s="15" t="str">
        <f>IF(Vanzari!$D63="Băuturi alcoolice şi ţigări","ACCIZA","TVA")</f>
        <v>ACCIZA</v>
      </c>
      <c r="J63" s="15">
        <f>IF(Vanzari!$D63="Băuturi alcoolice şi ţigări",Vanzari!$H63*0.05,Vanzari!$H63*0.09)</f>
        <v>1</v>
      </c>
      <c r="K63" s="15">
        <f>SUM(Vanzari!$H63,Vanzari!$J63)</f>
        <v>21</v>
      </c>
      <c r="L63" s="15">
        <f>Vanzari!$F63*Vanzari!$G63</f>
        <v>405</v>
      </c>
      <c r="M63" s="15">
        <f>Vanzari!$F63*Vanzari!$K63</f>
        <v>1701</v>
      </c>
      <c r="N63" s="15" t="str">
        <f>IF(Vanzari!$M63&gt;Vanzari!$L63,"PROFIT","PIERDERE")</f>
        <v>PROFIT</v>
      </c>
      <c r="O63" s="15">
        <f>Vanzari!$M63-Vanzari!$L63</f>
        <v>1296</v>
      </c>
      <c r="P63" s="15" cm="1">
        <f t="array" ref="P63">ProfitImpozitat(Vanzari!$O63)</f>
        <v>1231.2</v>
      </c>
    </row>
    <row r="64" spans="1:16" x14ac:dyDescent="0.2">
      <c r="A64" s="14">
        <v>44206</v>
      </c>
      <c r="B64" s="7" t="s">
        <v>5</v>
      </c>
      <c r="C64" s="7" t="s">
        <v>5</v>
      </c>
      <c r="D64" s="7" t="s">
        <v>51</v>
      </c>
      <c r="E64" s="7" t="s">
        <v>26</v>
      </c>
      <c r="F64" s="7">
        <v>82</v>
      </c>
      <c r="G64" s="15">
        <v>5</v>
      </c>
      <c r="H64" s="15">
        <v>20</v>
      </c>
      <c r="I64" s="15" t="str">
        <f>IF(Vanzari!$D64="Băuturi alcoolice şi ţigări","ACCIZA","TVA")</f>
        <v>ACCIZA</v>
      </c>
      <c r="J64" s="15">
        <f>IF(Vanzari!$D64="Băuturi alcoolice şi ţigări",Vanzari!$H64*0.05,Vanzari!$H64*0.09)</f>
        <v>1</v>
      </c>
      <c r="K64" s="15">
        <f>SUM(Vanzari!$H64,Vanzari!$J64)</f>
        <v>21</v>
      </c>
      <c r="L64" s="15">
        <f>Vanzari!$F64*Vanzari!$G64</f>
        <v>410</v>
      </c>
      <c r="M64" s="15">
        <f>Vanzari!$F64*Vanzari!$K64</f>
        <v>1722</v>
      </c>
      <c r="N64" s="15" t="str">
        <f>IF(Vanzari!$M64&gt;Vanzari!$L64,"PROFIT","PIERDERE")</f>
        <v>PROFIT</v>
      </c>
      <c r="O64" s="15">
        <f>Vanzari!$M64-Vanzari!$L64</f>
        <v>1312</v>
      </c>
      <c r="P64" s="15" cm="1">
        <f t="array" ref="P64">ProfitImpozitat(Vanzari!$O64)</f>
        <v>1180.8</v>
      </c>
    </row>
    <row r="65" spans="1:16" x14ac:dyDescent="0.2">
      <c r="A65" s="14">
        <v>44257</v>
      </c>
      <c r="B65" s="7" t="s">
        <v>5</v>
      </c>
      <c r="C65" s="7" t="s">
        <v>5</v>
      </c>
      <c r="D65" s="7" t="s">
        <v>51</v>
      </c>
      <c r="E65" s="7" t="s">
        <v>26</v>
      </c>
      <c r="F65" s="7">
        <v>85</v>
      </c>
      <c r="G65" s="15">
        <v>5</v>
      </c>
      <c r="H65" s="15">
        <v>20</v>
      </c>
      <c r="I65" s="15" t="str">
        <f>IF(Vanzari!$D65="Băuturi alcoolice şi ţigări","ACCIZA","TVA")</f>
        <v>ACCIZA</v>
      </c>
      <c r="J65" s="15">
        <f>IF(Vanzari!$D65="Băuturi alcoolice şi ţigări",Vanzari!$H65*0.05,Vanzari!$H65*0.09)</f>
        <v>1</v>
      </c>
      <c r="K65" s="15">
        <f>SUM(Vanzari!$H65,Vanzari!$J65)</f>
        <v>21</v>
      </c>
      <c r="L65" s="15">
        <f>Vanzari!$F65*Vanzari!$G65</f>
        <v>425</v>
      </c>
      <c r="M65" s="15">
        <f>Vanzari!$F65*Vanzari!$K65</f>
        <v>1785</v>
      </c>
      <c r="N65" s="15" t="str">
        <f>IF(Vanzari!$M65&gt;Vanzari!$L65,"PROFIT","PIERDERE")</f>
        <v>PROFIT</v>
      </c>
      <c r="O65" s="15">
        <f>Vanzari!$M65-Vanzari!$L65</f>
        <v>1360</v>
      </c>
      <c r="P65" s="15" cm="1">
        <f t="array" ref="P65">ProfitImpozitat(Vanzari!$O65)</f>
        <v>1224</v>
      </c>
    </row>
    <row r="66" spans="1:16" x14ac:dyDescent="0.2">
      <c r="A66" s="14">
        <v>44269</v>
      </c>
      <c r="B66" s="7" t="s">
        <v>1</v>
      </c>
      <c r="C66" s="7" t="s">
        <v>0</v>
      </c>
      <c r="D66" s="7" t="s">
        <v>51</v>
      </c>
      <c r="E66" s="7" t="s">
        <v>26</v>
      </c>
      <c r="F66" s="7">
        <v>86</v>
      </c>
      <c r="G66" s="15">
        <v>5</v>
      </c>
      <c r="H66" s="15">
        <v>20</v>
      </c>
      <c r="I66" s="15" t="str">
        <f>IF(Vanzari!$D66="Băuturi alcoolice şi ţigări","ACCIZA","TVA")</f>
        <v>ACCIZA</v>
      </c>
      <c r="J66" s="15">
        <f>IF(Vanzari!$D66="Băuturi alcoolice şi ţigări",Vanzari!$H66*0.05,Vanzari!$H66*0.09)</f>
        <v>1</v>
      </c>
      <c r="K66" s="15">
        <f>SUM(Vanzari!$H66,Vanzari!$J66)</f>
        <v>21</v>
      </c>
      <c r="L66" s="15">
        <f>Vanzari!$F66*Vanzari!$G66</f>
        <v>430</v>
      </c>
      <c r="M66" s="15">
        <f>Vanzari!$F66*Vanzari!$K66</f>
        <v>1806</v>
      </c>
      <c r="N66" s="15" t="str">
        <f>IF(Vanzari!$M66&gt;Vanzari!$L66,"PROFIT","PIERDERE")</f>
        <v>PROFIT</v>
      </c>
      <c r="O66" s="15">
        <f>Vanzari!$M66-Vanzari!$L66</f>
        <v>1376</v>
      </c>
      <c r="P66" s="15" cm="1">
        <f t="array" ref="P66">ProfitImpozitat(Vanzari!$O66)</f>
        <v>1238.4000000000001</v>
      </c>
    </row>
    <row r="67" spans="1:16" x14ac:dyDescent="0.2">
      <c r="A67" s="14">
        <v>44814</v>
      </c>
      <c r="B67" s="7" t="s">
        <v>1</v>
      </c>
      <c r="C67" s="7" t="s">
        <v>0</v>
      </c>
      <c r="D67" s="7" t="s">
        <v>51</v>
      </c>
      <c r="E67" s="7" t="s">
        <v>9</v>
      </c>
      <c r="F67" s="7">
        <v>79</v>
      </c>
      <c r="G67" s="15">
        <v>9.6199999999999992</v>
      </c>
      <c r="H67" s="15">
        <v>26.51</v>
      </c>
      <c r="I67" s="15" t="str">
        <f>IF(Vanzari!$D67="Băuturi alcoolice şi ţigări","ACCIZA","TVA")</f>
        <v>ACCIZA</v>
      </c>
      <c r="J67" s="15">
        <f>IF(Vanzari!$D67="Băuturi alcoolice şi ţigări",Vanzari!$H67*0.05,Vanzari!$H67*0.09)</f>
        <v>1.3255000000000001</v>
      </c>
      <c r="K67" s="15">
        <f>SUM(Vanzari!$H67,Vanzari!$J67)</f>
        <v>27.835500000000003</v>
      </c>
      <c r="L67" s="15">
        <f>Vanzari!$F67*Vanzari!$G67</f>
        <v>759.9799999999999</v>
      </c>
      <c r="M67" s="15">
        <f>Vanzari!$F67*Vanzari!$K67</f>
        <v>2199.0045000000005</v>
      </c>
      <c r="N67" s="15" t="str">
        <f>IF(Vanzari!$M67&gt;Vanzari!$L67,"PROFIT","PIERDERE")</f>
        <v>PROFIT</v>
      </c>
      <c r="O67" s="15">
        <f>Vanzari!$M67-Vanzari!$L67</f>
        <v>1439.0245000000004</v>
      </c>
      <c r="P67" s="15" cm="1">
        <f t="array" ref="P67">ProfitImpozitat(Vanzari!$O67)</f>
        <v>1295.1220500000004</v>
      </c>
    </row>
    <row r="68" spans="1:16" x14ac:dyDescent="0.2">
      <c r="A68" s="14">
        <v>44575</v>
      </c>
      <c r="B68" s="7" t="s">
        <v>1</v>
      </c>
      <c r="C68" s="7" t="s">
        <v>0</v>
      </c>
      <c r="D68" s="7" t="s">
        <v>51</v>
      </c>
      <c r="E68" s="7" t="s">
        <v>16</v>
      </c>
      <c r="F68" s="7">
        <v>80</v>
      </c>
      <c r="G68" s="15">
        <v>37.909999999999997</v>
      </c>
      <c r="H68" s="15">
        <v>54.32</v>
      </c>
      <c r="I68" s="15" t="str">
        <f>IF(Vanzari!$D68="Băuturi alcoolice şi ţigări","ACCIZA","TVA")</f>
        <v>ACCIZA</v>
      </c>
      <c r="J68" s="15">
        <f>IF(Vanzari!$D68="Băuturi alcoolice şi ţigări",Vanzari!$H68*0.05,Vanzari!$H68*0.09)</f>
        <v>2.7160000000000002</v>
      </c>
      <c r="K68" s="15">
        <f>SUM(Vanzari!$H68,Vanzari!$J68)</f>
        <v>57.036000000000001</v>
      </c>
      <c r="L68" s="15">
        <f>Vanzari!$F68*Vanzari!$G68</f>
        <v>3032.7999999999997</v>
      </c>
      <c r="M68" s="15">
        <f>Vanzari!$F68*Vanzari!$K68</f>
        <v>4562.88</v>
      </c>
      <c r="N68" s="15" t="str">
        <f>IF(Vanzari!$M68&gt;Vanzari!$L68,"PROFIT","PIERDERE")</f>
        <v>PROFIT</v>
      </c>
      <c r="O68" s="15">
        <f>Vanzari!$M68-Vanzari!$L68</f>
        <v>1530.0800000000004</v>
      </c>
      <c r="P68" s="15" cm="1">
        <f t="array" ref="P68">ProfitImpozitat(Vanzari!$O68)</f>
        <v>1377.0720000000003</v>
      </c>
    </row>
    <row r="69" spans="1:16" x14ac:dyDescent="0.2">
      <c r="A69" s="14">
        <v>44521</v>
      </c>
      <c r="B69" s="7" t="s">
        <v>6</v>
      </c>
      <c r="C69" s="7" t="s">
        <v>59</v>
      </c>
      <c r="D69" s="7" t="s">
        <v>51</v>
      </c>
      <c r="E69" s="7" t="s">
        <v>20</v>
      </c>
      <c r="F69" s="7">
        <v>97</v>
      </c>
      <c r="G69" s="15">
        <v>5</v>
      </c>
      <c r="H69" s="15">
        <v>20</v>
      </c>
      <c r="I69" s="15" t="str">
        <f>IF(Vanzari!$D69="Băuturi alcoolice şi ţigări","ACCIZA","TVA")</f>
        <v>ACCIZA</v>
      </c>
      <c r="J69" s="15">
        <f>IF(Vanzari!$D69="Băuturi alcoolice şi ţigări",Vanzari!$H69*0.05,Vanzari!$H69*0.09)</f>
        <v>1</v>
      </c>
      <c r="K69" s="15">
        <f>SUM(Vanzari!$H69,Vanzari!$J69)</f>
        <v>21</v>
      </c>
      <c r="L69" s="15">
        <f>Vanzari!$F69*Vanzari!$G69</f>
        <v>485</v>
      </c>
      <c r="M69" s="15">
        <f>Vanzari!$F69*Vanzari!$K69</f>
        <v>2037</v>
      </c>
      <c r="N69" s="15" t="str">
        <f>IF(Vanzari!$M69&gt;Vanzari!$L69,"PROFIT","PIERDERE")</f>
        <v>PROFIT</v>
      </c>
      <c r="O69" s="15">
        <f>Vanzari!$M69-Vanzari!$L69</f>
        <v>1552</v>
      </c>
      <c r="P69" s="15" cm="1">
        <f t="array" ref="P69">ProfitImpozitat(Vanzari!$O69)</f>
        <v>1396.8</v>
      </c>
    </row>
    <row r="70" spans="1:16" x14ac:dyDescent="0.2">
      <c r="A70" s="14">
        <v>44560</v>
      </c>
      <c r="B70" s="7" t="s">
        <v>60</v>
      </c>
      <c r="C70" s="7" t="s">
        <v>60</v>
      </c>
      <c r="D70" s="7" t="s">
        <v>51</v>
      </c>
      <c r="E70" s="7" t="s">
        <v>16</v>
      </c>
      <c r="F70" s="7">
        <v>83</v>
      </c>
      <c r="G70" s="15">
        <v>37.909999999999997</v>
      </c>
      <c r="H70" s="15">
        <v>54.32</v>
      </c>
      <c r="I70" s="15" t="str">
        <f>IF(Vanzari!$D70="Băuturi alcoolice şi ţigări","ACCIZA","TVA")</f>
        <v>ACCIZA</v>
      </c>
      <c r="J70" s="15">
        <f>IF(Vanzari!$D70="Băuturi alcoolice şi ţigări",Vanzari!$H70*0.05,Vanzari!$H70*0.09)</f>
        <v>2.7160000000000002</v>
      </c>
      <c r="K70" s="15">
        <f>SUM(Vanzari!$H70,Vanzari!$J70)</f>
        <v>57.036000000000001</v>
      </c>
      <c r="L70" s="15">
        <f>Vanzari!$F70*Vanzari!$G70</f>
        <v>3146.5299999999997</v>
      </c>
      <c r="M70" s="15">
        <f>Vanzari!$F70*Vanzari!$K70</f>
        <v>4733.9880000000003</v>
      </c>
      <c r="N70" s="15" t="str">
        <f>IF(Vanzari!$M70&gt;Vanzari!$L70,"PROFIT","PIERDERE")</f>
        <v>PROFIT</v>
      </c>
      <c r="O70" s="15">
        <f>Vanzari!$M70-Vanzari!$L70</f>
        <v>1587.4580000000005</v>
      </c>
      <c r="P70" s="15" cm="1">
        <f t="array" ref="P70">ProfitImpozitat(Vanzari!$O70)</f>
        <v>1428.7122000000004</v>
      </c>
    </row>
    <row r="71" spans="1:16" x14ac:dyDescent="0.2">
      <c r="A71" s="14">
        <v>44778</v>
      </c>
      <c r="B71" s="7" t="s">
        <v>60</v>
      </c>
      <c r="C71" s="7" t="s">
        <v>60</v>
      </c>
      <c r="D71" s="7" t="s">
        <v>51</v>
      </c>
      <c r="E71" s="7" t="s">
        <v>9</v>
      </c>
      <c r="F71" s="7">
        <v>90</v>
      </c>
      <c r="G71" s="15">
        <v>9.6199999999999992</v>
      </c>
      <c r="H71" s="15">
        <v>26.51</v>
      </c>
      <c r="I71" s="15" t="str">
        <f>IF(Vanzari!$D71="Băuturi alcoolice şi ţigări","ACCIZA","TVA")</f>
        <v>ACCIZA</v>
      </c>
      <c r="J71" s="15">
        <f>IF(Vanzari!$D71="Băuturi alcoolice şi ţigări",Vanzari!$H71*0.05,Vanzari!$H71*0.09)</f>
        <v>1.3255000000000001</v>
      </c>
      <c r="K71" s="15">
        <f>SUM(Vanzari!$H71,Vanzari!$J71)</f>
        <v>27.835500000000003</v>
      </c>
      <c r="L71" s="15">
        <f>Vanzari!$F71*Vanzari!$G71</f>
        <v>865.8</v>
      </c>
      <c r="M71" s="15">
        <f>Vanzari!$F71*Vanzari!$K71</f>
        <v>2505.1950000000002</v>
      </c>
      <c r="N71" s="15" t="str">
        <f>IF(Vanzari!$M71&gt;Vanzari!$L71,"PROFIT","PIERDERE")</f>
        <v>PROFIT</v>
      </c>
      <c r="O71" s="15">
        <f>Vanzari!$M71-Vanzari!$L71</f>
        <v>1639.3950000000002</v>
      </c>
      <c r="P71" s="15" cm="1">
        <f t="array" ref="P71">ProfitImpozitat(Vanzari!$O71)</f>
        <v>1475.4555000000003</v>
      </c>
    </row>
    <row r="72" spans="1:16" x14ac:dyDescent="0.2">
      <c r="A72" s="14">
        <v>44512</v>
      </c>
      <c r="B72" s="7" t="s">
        <v>60</v>
      </c>
      <c r="C72" s="7" t="s">
        <v>60</v>
      </c>
      <c r="D72" s="7" t="s">
        <v>51</v>
      </c>
      <c r="E72" s="7" t="s">
        <v>20</v>
      </c>
      <c r="F72" s="7">
        <v>103</v>
      </c>
      <c r="G72" s="15">
        <v>5</v>
      </c>
      <c r="H72" s="15">
        <v>20</v>
      </c>
      <c r="I72" s="15" t="str">
        <f>IF(Vanzari!$D72="Băuturi alcoolice şi ţigări","ACCIZA","TVA")</f>
        <v>ACCIZA</v>
      </c>
      <c r="J72" s="15">
        <f>IF(Vanzari!$D72="Băuturi alcoolice şi ţigări",Vanzari!$H72*0.05,Vanzari!$H72*0.09)</f>
        <v>1</v>
      </c>
      <c r="K72" s="15">
        <f>SUM(Vanzari!$H72,Vanzari!$J72)</f>
        <v>21</v>
      </c>
      <c r="L72" s="15">
        <f>Vanzari!$F72*Vanzari!$G72</f>
        <v>515</v>
      </c>
      <c r="M72" s="15">
        <f>Vanzari!$F72*Vanzari!$K72</f>
        <v>2163</v>
      </c>
      <c r="N72" s="15" t="str">
        <f>IF(Vanzari!$M72&gt;Vanzari!$L72,"PROFIT","PIERDERE")</f>
        <v>PROFIT</v>
      </c>
      <c r="O72" s="15">
        <f>Vanzari!$M72-Vanzari!$L72</f>
        <v>1648</v>
      </c>
      <c r="P72" s="15" cm="1">
        <f t="array" ref="P72">ProfitImpozitat(Vanzari!$O72)</f>
        <v>1483.2</v>
      </c>
    </row>
    <row r="73" spans="1:16" x14ac:dyDescent="0.2">
      <c r="A73" s="14">
        <v>44413</v>
      </c>
      <c r="B73" s="7" t="s">
        <v>1</v>
      </c>
      <c r="C73" s="7" t="s">
        <v>0</v>
      </c>
      <c r="D73" s="7" t="s">
        <v>51</v>
      </c>
      <c r="E73" s="7" t="s">
        <v>54</v>
      </c>
      <c r="F73" s="7">
        <v>107</v>
      </c>
      <c r="G73" s="15">
        <v>5</v>
      </c>
      <c r="H73" s="15">
        <v>20</v>
      </c>
      <c r="I73" s="15" t="str">
        <f>IF(Vanzari!$D73="Băuturi alcoolice şi ţigări","ACCIZA","TVA")</f>
        <v>ACCIZA</v>
      </c>
      <c r="J73" s="15">
        <f>IF(Vanzari!$D73="Băuturi alcoolice şi ţigări",Vanzari!$H73*0.05,Vanzari!$H73*0.09)</f>
        <v>1</v>
      </c>
      <c r="K73" s="15">
        <f>SUM(Vanzari!$H73,Vanzari!$J73)</f>
        <v>21</v>
      </c>
      <c r="L73" s="15">
        <f>Vanzari!$F73*Vanzari!$G73</f>
        <v>535</v>
      </c>
      <c r="M73" s="15">
        <f>Vanzari!$F73*Vanzari!$K73</f>
        <v>2247</v>
      </c>
      <c r="N73" s="15" t="str">
        <f>IF(Vanzari!$M73&gt;Vanzari!$L73,"PROFIT","PIERDERE")</f>
        <v>PROFIT</v>
      </c>
      <c r="O73" s="15">
        <f>Vanzari!$M73-Vanzari!$L73</f>
        <v>1712</v>
      </c>
      <c r="P73" s="15" cm="1">
        <f t="array" ref="P73">ProfitImpozitat(Vanzari!$O73)</f>
        <v>1540.8</v>
      </c>
    </row>
    <row r="74" spans="1:16" x14ac:dyDescent="0.2">
      <c r="A74" s="14">
        <v>44458</v>
      </c>
      <c r="B74" s="7" t="s">
        <v>5</v>
      </c>
      <c r="C74" s="7" t="s">
        <v>5</v>
      </c>
      <c r="D74" s="7" t="s">
        <v>51</v>
      </c>
      <c r="E74" s="7" t="s">
        <v>20</v>
      </c>
      <c r="F74" s="7">
        <v>110</v>
      </c>
      <c r="G74" s="15">
        <v>5</v>
      </c>
      <c r="H74" s="15">
        <v>20</v>
      </c>
      <c r="I74" s="15" t="str">
        <f>IF(Vanzari!$D74="Băuturi alcoolice şi ţigări","ACCIZA","TVA")</f>
        <v>ACCIZA</v>
      </c>
      <c r="J74" s="15">
        <f>IF(Vanzari!$D74="Băuturi alcoolice şi ţigări",Vanzari!$H74*0.05,Vanzari!$H74*0.09)</f>
        <v>1</v>
      </c>
      <c r="K74" s="15">
        <f>SUM(Vanzari!$H74,Vanzari!$J74)</f>
        <v>21</v>
      </c>
      <c r="L74" s="15">
        <f>Vanzari!$F74*Vanzari!$G74</f>
        <v>550</v>
      </c>
      <c r="M74" s="15">
        <f>Vanzari!$F74*Vanzari!$K74</f>
        <v>2310</v>
      </c>
      <c r="N74" s="15" t="str">
        <f>IF(Vanzari!$M74&gt;Vanzari!$L74,"PROFIT","PIERDERE")</f>
        <v>PROFIT</v>
      </c>
      <c r="O74" s="15">
        <f>Vanzari!$M74-Vanzari!$L74</f>
        <v>1760</v>
      </c>
      <c r="P74" s="15" cm="1">
        <f t="array" ref="P74">ProfitImpozitat(Vanzari!$O74)</f>
        <v>1584</v>
      </c>
    </row>
    <row r="75" spans="1:16" x14ac:dyDescent="0.2">
      <c r="A75" s="14">
        <v>44625</v>
      </c>
      <c r="B75" s="7" t="s">
        <v>5</v>
      </c>
      <c r="C75" s="7" t="s">
        <v>5</v>
      </c>
      <c r="D75" s="7" t="s">
        <v>51</v>
      </c>
      <c r="E75" s="7" t="s">
        <v>16</v>
      </c>
      <c r="F75" s="7">
        <v>97</v>
      </c>
      <c r="G75" s="15">
        <v>37.909999999999997</v>
      </c>
      <c r="H75" s="15">
        <v>54.32</v>
      </c>
      <c r="I75" s="15" t="str">
        <f>IF(Vanzari!$D75="Băuturi alcoolice şi ţigări","ACCIZA","TVA")</f>
        <v>ACCIZA</v>
      </c>
      <c r="J75" s="15">
        <f>IF(Vanzari!$D75="Băuturi alcoolice şi ţigări",Vanzari!$H75*0.05,Vanzari!$H75*0.09)</f>
        <v>2.7160000000000002</v>
      </c>
      <c r="K75" s="15">
        <f>SUM(Vanzari!$H75,Vanzari!$J75)</f>
        <v>57.036000000000001</v>
      </c>
      <c r="L75" s="15">
        <f>Vanzari!$F75*Vanzari!$G75</f>
        <v>3677.2699999999995</v>
      </c>
      <c r="M75" s="15">
        <f>Vanzari!$F75*Vanzari!$K75</f>
        <v>5532.4920000000002</v>
      </c>
      <c r="N75" s="15" t="str">
        <f>IF(Vanzari!$M75&gt;Vanzari!$L75,"PROFIT","PIERDERE")</f>
        <v>PROFIT</v>
      </c>
      <c r="O75" s="15">
        <f>Vanzari!$M75-Vanzari!$L75</f>
        <v>1855.2220000000007</v>
      </c>
      <c r="P75" s="15" cm="1">
        <f t="array" ref="P75">ProfitImpozitat(Vanzari!$O75)</f>
        <v>1669.6998000000006</v>
      </c>
    </row>
    <row r="76" spans="1:16" x14ac:dyDescent="0.2">
      <c r="A76" s="14">
        <v>44850</v>
      </c>
      <c r="B76" s="7" t="s">
        <v>6</v>
      </c>
      <c r="C76" s="7" t="s">
        <v>59</v>
      </c>
      <c r="D76" s="7" t="s">
        <v>51</v>
      </c>
      <c r="E76" s="7" t="s">
        <v>55</v>
      </c>
      <c r="F76" s="7">
        <v>87</v>
      </c>
      <c r="G76" s="15">
        <v>9.6199999999999992</v>
      </c>
      <c r="H76" s="15">
        <v>29.8</v>
      </c>
      <c r="I76" s="15" t="str">
        <f>IF(Vanzari!$D76="Băuturi alcoolice şi ţigări","ACCIZA","TVA")</f>
        <v>ACCIZA</v>
      </c>
      <c r="J76" s="15">
        <f>IF(Vanzari!$D76="Băuturi alcoolice şi ţigări",Vanzari!$H76*0.05,Vanzari!$H76*0.09)</f>
        <v>1.4900000000000002</v>
      </c>
      <c r="K76" s="15">
        <f>SUM(Vanzari!$H76,Vanzari!$J76)</f>
        <v>31.29</v>
      </c>
      <c r="L76" s="15">
        <f>Vanzari!$F76*Vanzari!$G76</f>
        <v>836.93999999999994</v>
      </c>
      <c r="M76" s="15">
        <f>Vanzari!$F76*Vanzari!$K76</f>
        <v>2722.23</v>
      </c>
      <c r="N76" s="15" t="str">
        <f>IF(Vanzari!$M76&gt;Vanzari!$L76,"PROFIT","PIERDERE")</f>
        <v>PROFIT</v>
      </c>
      <c r="O76" s="15">
        <f>Vanzari!$M76-Vanzari!$L76</f>
        <v>1885.29</v>
      </c>
      <c r="P76" s="15" cm="1">
        <f t="array" ref="P76">ProfitImpozitat(Vanzari!$O76)</f>
        <v>1696.761</v>
      </c>
    </row>
    <row r="77" spans="1:16" x14ac:dyDescent="0.2">
      <c r="A77" s="14">
        <v>44248</v>
      </c>
      <c r="B77" s="7" t="s">
        <v>6</v>
      </c>
      <c r="C77" s="7" t="s">
        <v>59</v>
      </c>
      <c r="D77" s="7" t="s">
        <v>51</v>
      </c>
      <c r="E77" s="7" t="s">
        <v>26</v>
      </c>
      <c r="F77" s="7">
        <v>123</v>
      </c>
      <c r="G77" s="15">
        <v>5</v>
      </c>
      <c r="H77" s="15">
        <v>20</v>
      </c>
      <c r="I77" s="15" t="str">
        <f>IF(Vanzari!$D77="Băuturi alcoolice şi ţigări","ACCIZA","TVA")</f>
        <v>ACCIZA</v>
      </c>
      <c r="J77" s="15">
        <f>IF(Vanzari!$D77="Băuturi alcoolice şi ţigări",Vanzari!$H77*0.05,Vanzari!$H77*0.09)</f>
        <v>1</v>
      </c>
      <c r="K77" s="15">
        <f>SUM(Vanzari!$H77,Vanzari!$J77)</f>
        <v>21</v>
      </c>
      <c r="L77" s="15">
        <f>Vanzari!$F77*Vanzari!$G77</f>
        <v>615</v>
      </c>
      <c r="M77" s="15">
        <f>Vanzari!$F77*Vanzari!$K77</f>
        <v>2583</v>
      </c>
      <c r="N77" s="15" t="str">
        <f>IF(Vanzari!$M77&gt;Vanzari!$L77,"PROFIT","PIERDERE")</f>
        <v>PROFIT</v>
      </c>
      <c r="O77" s="15">
        <f>Vanzari!$M77-Vanzari!$L77</f>
        <v>1968</v>
      </c>
      <c r="P77" s="15" cm="1">
        <f t="array" ref="P77">ProfitImpozitat(Vanzari!$O77)</f>
        <v>1771.2</v>
      </c>
    </row>
    <row r="78" spans="1:16" x14ac:dyDescent="0.2">
      <c r="A78" s="14">
        <v>44910</v>
      </c>
      <c r="B78" s="7" t="s">
        <v>60</v>
      </c>
      <c r="C78" s="7" t="s">
        <v>60</v>
      </c>
      <c r="D78" s="7" t="s">
        <v>51</v>
      </c>
      <c r="E78" s="7" t="s">
        <v>55</v>
      </c>
      <c r="F78" s="7">
        <v>96</v>
      </c>
      <c r="G78" s="15">
        <v>9.6199999999999992</v>
      </c>
      <c r="H78" s="15">
        <v>29.8</v>
      </c>
      <c r="I78" s="15" t="str">
        <f>IF(Vanzari!$D78="Băuturi alcoolice şi ţigări","ACCIZA","TVA")</f>
        <v>ACCIZA</v>
      </c>
      <c r="J78" s="15">
        <f>IF(Vanzari!$D78="Băuturi alcoolice şi ţigări",Vanzari!$H78*0.05,Vanzari!$H78*0.09)</f>
        <v>1.4900000000000002</v>
      </c>
      <c r="K78" s="15">
        <f>SUM(Vanzari!$H78,Vanzari!$J78)</f>
        <v>31.29</v>
      </c>
      <c r="L78" s="15">
        <f>Vanzari!$F78*Vanzari!$G78</f>
        <v>923.52</v>
      </c>
      <c r="M78" s="15">
        <f>Vanzari!$F78*Vanzari!$K78</f>
        <v>3003.84</v>
      </c>
      <c r="N78" s="15" t="str">
        <f>IF(Vanzari!$M78&gt;Vanzari!$L78,"PROFIT","PIERDERE")</f>
        <v>PROFIT</v>
      </c>
      <c r="O78" s="15">
        <f>Vanzari!$M78-Vanzari!$L78</f>
        <v>2080.3200000000002</v>
      </c>
      <c r="P78" s="15" cm="1">
        <f t="array" ref="P78">ProfitImpozitat(Vanzari!$O78)</f>
        <v>1872.288</v>
      </c>
    </row>
    <row r="79" spans="1:16" x14ac:dyDescent="0.2">
      <c r="A79" s="14">
        <v>44901</v>
      </c>
      <c r="B79" s="7" t="s">
        <v>1</v>
      </c>
      <c r="C79" s="7" t="s">
        <v>0</v>
      </c>
      <c r="D79" s="7" t="s">
        <v>51</v>
      </c>
      <c r="E79" s="7" t="s">
        <v>55</v>
      </c>
      <c r="F79" s="7">
        <v>100</v>
      </c>
      <c r="G79" s="15">
        <v>9.6199999999999992</v>
      </c>
      <c r="H79" s="15">
        <v>29.8</v>
      </c>
      <c r="I79" s="15" t="str">
        <f>IF(Vanzari!$D79="Băuturi alcoolice şi ţigări","ACCIZA","TVA")</f>
        <v>ACCIZA</v>
      </c>
      <c r="J79" s="15">
        <f>IF(Vanzari!$D79="Băuturi alcoolice şi ţigări",Vanzari!$H79*0.05,Vanzari!$H79*0.09)</f>
        <v>1.4900000000000002</v>
      </c>
      <c r="K79" s="15">
        <f>SUM(Vanzari!$H79,Vanzari!$J79)</f>
        <v>31.29</v>
      </c>
      <c r="L79" s="15">
        <f>Vanzari!$F79*Vanzari!$G79</f>
        <v>961.99999999999989</v>
      </c>
      <c r="M79" s="15">
        <f>Vanzari!$F79*Vanzari!$K79</f>
        <v>3129</v>
      </c>
      <c r="N79" s="15" t="str">
        <f>IF(Vanzari!$M79&gt;Vanzari!$L79,"PROFIT","PIERDERE")</f>
        <v>PROFIT</v>
      </c>
      <c r="O79" s="15">
        <f>Vanzari!$M79-Vanzari!$L79</f>
        <v>2167</v>
      </c>
      <c r="P79" s="15" cm="1">
        <f t="array" ref="P79">ProfitImpozitat(Vanzari!$O79)</f>
        <v>1950.3</v>
      </c>
    </row>
    <row r="80" spans="1:16" x14ac:dyDescent="0.2">
      <c r="A80" s="14">
        <v>44410</v>
      </c>
      <c r="B80" s="7" t="s">
        <v>6</v>
      </c>
      <c r="C80" s="7" t="s">
        <v>59</v>
      </c>
      <c r="D80" s="7" t="s">
        <v>51</v>
      </c>
      <c r="E80" s="7" t="s">
        <v>54</v>
      </c>
      <c r="F80" s="7">
        <v>137</v>
      </c>
      <c r="G80" s="15">
        <v>5</v>
      </c>
      <c r="H80" s="15">
        <v>20</v>
      </c>
      <c r="I80" s="15" t="str">
        <f>IF(Vanzari!$D80="Băuturi alcoolice şi ţigări","ACCIZA","TVA")</f>
        <v>ACCIZA</v>
      </c>
      <c r="J80" s="15">
        <f>IF(Vanzari!$D80="Băuturi alcoolice şi ţigări",Vanzari!$H80*0.05,Vanzari!$H80*0.09)</f>
        <v>1</v>
      </c>
      <c r="K80" s="15">
        <f>SUM(Vanzari!$H80,Vanzari!$J80)</f>
        <v>21</v>
      </c>
      <c r="L80" s="15">
        <f>Vanzari!$F80*Vanzari!$G80</f>
        <v>685</v>
      </c>
      <c r="M80" s="15">
        <f>Vanzari!$F80*Vanzari!$K80</f>
        <v>2877</v>
      </c>
      <c r="N80" s="15" t="str">
        <f>IF(Vanzari!$M80&gt;Vanzari!$L80,"PROFIT","PIERDERE")</f>
        <v>PROFIT</v>
      </c>
      <c r="O80" s="15">
        <f>Vanzari!$M80-Vanzari!$L80</f>
        <v>2192</v>
      </c>
      <c r="P80" s="15" cm="1">
        <f t="array" ref="P80">ProfitImpozitat(Vanzari!$O80)</f>
        <v>1972.8</v>
      </c>
    </row>
    <row r="81" spans="1:16" x14ac:dyDescent="0.2">
      <c r="A81" s="14">
        <v>44323</v>
      </c>
      <c r="B81" s="7" t="s">
        <v>6</v>
      </c>
      <c r="C81" s="7" t="s">
        <v>59</v>
      </c>
      <c r="D81" s="7" t="s">
        <v>51</v>
      </c>
      <c r="E81" s="7" t="s">
        <v>54</v>
      </c>
      <c r="F81" s="7">
        <v>138</v>
      </c>
      <c r="G81" s="15">
        <v>5</v>
      </c>
      <c r="H81" s="15">
        <v>20</v>
      </c>
      <c r="I81" s="15" t="str">
        <f>IF(Vanzari!$D81="Băuturi alcoolice şi ţigări","ACCIZA","TVA")</f>
        <v>ACCIZA</v>
      </c>
      <c r="J81" s="15">
        <f>IF(Vanzari!$D81="Băuturi alcoolice şi ţigări",Vanzari!$H81*0.05,Vanzari!$H81*0.09)</f>
        <v>1</v>
      </c>
      <c r="K81" s="15">
        <f>SUM(Vanzari!$H81,Vanzari!$J81)</f>
        <v>21</v>
      </c>
      <c r="L81" s="15">
        <f>Vanzari!$F81*Vanzari!$G81</f>
        <v>690</v>
      </c>
      <c r="M81" s="15">
        <f>Vanzari!$F81*Vanzari!$K81</f>
        <v>2898</v>
      </c>
      <c r="N81" s="15" t="str">
        <f>IF(Vanzari!$M81&gt;Vanzari!$L81,"PROFIT","PIERDERE")</f>
        <v>PROFIT</v>
      </c>
      <c r="O81" s="15">
        <f>Vanzari!$M81-Vanzari!$L81</f>
        <v>2208</v>
      </c>
      <c r="P81" s="15" cm="1">
        <f t="array" ref="P81">ProfitImpozitat(Vanzari!$O81)</f>
        <v>1987.2</v>
      </c>
    </row>
    <row r="82" spans="1:16" x14ac:dyDescent="0.2">
      <c r="A82" s="14">
        <v>44533</v>
      </c>
      <c r="B82" s="7" t="s">
        <v>60</v>
      </c>
      <c r="C82" s="7" t="s">
        <v>60</v>
      </c>
      <c r="D82" s="7" t="s">
        <v>51</v>
      </c>
      <c r="E82" s="7" t="s">
        <v>20</v>
      </c>
      <c r="F82" s="7">
        <v>139</v>
      </c>
      <c r="G82" s="15">
        <v>5</v>
      </c>
      <c r="H82" s="15">
        <v>20</v>
      </c>
      <c r="I82" s="15" t="str">
        <f>IF(Vanzari!$D82="Băuturi alcoolice şi ţigări","ACCIZA","TVA")</f>
        <v>ACCIZA</v>
      </c>
      <c r="J82" s="15">
        <f>IF(Vanzari!$D82="Băuturi alcoolice şi ţigări",Vanzari!$H82*0.05,Vanzari!$H82*0.09)</f>
        <v>1</v>
      </c>
      <c r="K82" s="15">
        <f>SUM(Vanzari!$H82,Vanzari!$J82)</f>
        <v>21</v>
      </c>
      <c r="L82" s="15">
        <f>Vanzari!$F82*Vanzari!$G82</f>
        <v>695</v>
      </c>
      <c r="M82" s="15">
        <f>Vanzari!$F82*Vanzari!$K82</f>
        <v>2919</v>
      </c>
      <c r="N82" s="15" t="str">
        <f>IF(Vanzari!$M82&gt;Vanzari!$L82,"PROFIT","PIERDERE")</f>
        <v>PROFIT</v>
      </c>
      <c r="O82" s="15">
        <f>Vanzari!$M82-Vanzari!$L82</f>
        <v>2224</v>
      </c>
      <c r="P82" s="15" cm="1">
        <f t="array" ref="P82">ProfitImpozitat(Vanzari!$O82)</f>
        <v>2001.6</v>
      </c>
    </row>
    <row r="83" spans="1:16" x14ac:dyDescent="0.2">
      <c r="A83" s="14">
        <v>44658</v>
      </c>
      <c r="B83" s="7" t="s">
        <v>6</v>
      </c>
      <c r="C83" s="7" t="s">
        <v>59</v>
      </c>
      <c r="D83" s="7" t="s">
        <v>51</v>
      </c>
      <c r="E83" s="7" t="s">
        <v>16</v>
      </c>
      <c r="F83" s="7">
        <v>123</v>
      </c>
      <c r="G83" s="15">
        <v>37.909999999999997</v>
      </c>
      <c r="H83" s="15">
        <v>54.32</v>
      </c>
      <c r="I83" s="15" t="str">
        <f>IF(Vanzari!$D83="Băuturi alcoolice şi ţigări","ACCIZA","TVA")</f>
        <v>ACCIZA</v>
      </c>
      <c r="J83" s="15">
        <f>IF(Vanzari!$D83="Băuturi alcoolice şi ţigări",Vanzari!$H83*0.05,Vanzari!$H83*0.09)</f>
        <v>2.7160000000000002</v>
      </c>
      <c r="K83" s="15">
        <f>SUM(Vanzari!$H83,Vanzari!$J83)</f>
        <v>57.036000000000001</v>
      </c>
      <c r="L83" s="15">
        <f>Vanzari!$F83*Vanzari!$G83</f>
        <v>4662.9299999999994</v>
      </c>
      <c r="M83" s="15">
        <f>Vanzari!$F83*Vanzari!$K83</f>
        <v>7015.4279999999999</v>
      </c>
      <c r="N83" s="15" t="str">
        <f>IF(Vanzari!$M83&gt;Vanzari!$L83,"PROFIT","PIERDERE")</f>
        <v>PROFIT</v>
      </c>
      <c r="O83" s="15">
        <f>Vanzari!$M83-Vanzari!$L83</f>
        <v>2352.4980000000005</v>
      </c>
      <c r="P83" s="15" cm="1">
        <f t="array" ref="P83">ProfitImpozitat(Vanzari!$O83)</f>
        <v>2117.2482000000005</v>
      </c>
    </row>
    <row r="84" spans="1:16" x14ac:dyDescent="0.2">
      <c r="A84" s="14">
        <v>44802</v>
      </c>
      <c r="B84" s="7" t="s">
        <v>6</v>
      </c>
      <c r="C84" s="7" t="s">
        <v>59</v>
      </c>
      <c r="D84" s="7" t="s">
        <v>51</v>
      </c>
      <c r="E84" s="7" t="s">
        <v>9</v>
      </c>
      <c r="F84" s="7">
        <v>136</v>
      </c>
      <c r="G84" s="15">
        <v>9.6199999999999992</v>
      </c>
      <c r="H84" s="15">
        <v>26.51</v>
      </c>
      <c r="I84" s="15" t="str">
        <f>IF(Vanzari!$D84="Băuturi alcoolice şi ţigări","ACCIZA","TVA")</f>
        <v>ACCIZA</v>
      </c>
      <c r="J84" s="15">
        <f>IF(Vanzari!$D84="Băuturi alcoolice şi ţigări",Vanzari!$H84*0.05,Vanzari!$H84*0.09)</f>
        <v>1.3255000000000001</v>
      </c>
      <c r="K84" s="15">
        <f>SUM(Vanzari!$H84,Vanzari!$J84)</f>
        <v>27.835500000000003</v>
      </c>
      <c r="L84" s="15">
        <f>Vanzari!$F84*Vanzari!$G84</f>
        <v>1308.32</v>
      </c>
      <c r="M84" s="15">
        <f>Vanzari!$F84*Vanzari!$K84</f>
        <v>3785.6280000000006</v>
      </c>
      <c r="N84" s="15" t="str">
        <f>IF(Vanzari!$M84&gt;Vanzari!$L84,"PROFIT","PIERDERE")</f>
        <v>PROFIT</v>
      </c>
      <c r="O84" s="15">
        <f>Vanzari!$M84-Vanzari!$L84</f>
        <v>2477.3080000000009</v>
      </c>
      <c r="P84" s="15" cm="1">
        <f t="array" ref="P84">ProfitImpozitat(Vanzari!$O84)</f>
        <v>2229.5772000000006</v>
      </c>
    </row>
    <row r="85" spans="1:16" x14ac:dyDescent="0.2">
      <c r="A85" s="14">
        <v>44874</v>
      </c>
      <c r="B85" s="7" t="s">
        <v>6</v>
      </c>
      <c r="C85" s="7" t="s">
        <v>59</v>
      </c>
      <c r="D85" s="7" t="s">
        <v>51</v>
      </c>
      <c r="E85" s="7" t="s">
        <v>55</v>
      </c>
      <c r="F85" s="7">
        <v>124</v>
      </c>
      <c r="G85" s="15">
        <v>9.6199999999999992</v>
      </c>
      <c r="H85" s="15">
        <v>29.8</v>
      </c>
      <c r="I85" s="15" t="str">
        <f>IF(Vanzari!$D85="Băuturi alcoolice şi ţigări","ACCIZA","TVA")</f>
        <v>ACCIZA</v>
      </c>
      <c r="J85" s="15">
        <f>IF(Vanzari!$D85="Băuturi alcoolice şi ţigări",Vanzari!$H85*0.05,Vanzari!$H85*0.09)</f>
        <v>1.4900000000000002</v>
      </c>
      <c r="K85" s="15">
        <f>SUM(Vanzari!$H85,Vanzari!$J85)</f>
        <v>31.29</v>
      </c>
      <c r="L85" s="15">
        <f>Vanzari!$F85*Vanzari!$G85</f>
        <v>1192.8799999999999</v>
      </c>
      <c r="M85" s="15">
        <f>Vanzari!$F85*Vanzari!$K85</f>
        <v>3879.96</v>
      </c>
      <c r="N85" s="15" t="str">
        <f>IF(Vanzari!$M85&gt;Vanzari!$L85,"PROFIT","PIERDERE")</f>
        <v>PROFIT</v>
      </c>
      <c r="O85" s="15">
        <f>Vanzari!$M85-Vanzari!$L85</f>
        <v>2687.08</v>
      </c>
      <c r="P85" s="15" cm="1">
        <f t="array" ref="P85">ProfitImpozitat(Vanzari!$O85)</f>
        <v>2418.3719999999998</v>
      </c>
    </row>
    <row r="86" spans="1:16" x14ac:dyDescent="0.2">
      <c r="A86" s="14">
        <v>44889</v>
      </c>
      <c r="B86" s="7" t="s">
        <v>6</v>
      </c>
      <c r="C86" s="7" t="s">
        <v>59</v>
      </c>
      <c r="D86" s="7" t="s">
        <v>51</v>
      </c>
      <c r="E86" s="7" t="s">
        <v>55</v>
      </c>
      <c r="F86" s="7">
        <v>139</v>
      </c>
      <c r="G86" s="15">
        <v>9.6199999999999992</v>
      </c>
      <c r="H86" s="15">
        <v>29.8</v>
      </c>
      <c r="I86" s="15" t="str">
        <f>IF(Vanzari!$D86="Băuturi alcoolice şi ţigări","ACCIZA","TVA")</f>
        <v>ACCIZA</v>
      </c>
      <c r="J86" s="15">
        <f>IF(Vanzari!$D86="Băuturi alcoolice şi ţigări",Vanzari!$H86*0.05,Vanzari!$H86*0.09)</f>
        <v>1.4900000000000002</v>
      </c>
      <c r="K86" s="15">
        <f>SUM(Vanzari!$H86,Vanzari!$J86)</f>
        <v>31.29</v>
      </c>
      <c r="L86" s="15">
        <f>Vanzari!$F86*Vanzari!$G86</f>
        <v>1337.1799999999998</v>
      </c>
      <c r="M86" s="15">
        <f>Vanzari!$F86*Vanzari!$K86</f>
        <v>4349.3099999999995</v>
      </c>
      <c r="N86" s="15" t="str">
        <f>IF(Vanzari!$M86&gt;Vanzari!$L86,"PROFIT","PIERDERE")</f>
        <v>PROFIT</v>
      </c>
      <c r="O86" s="15">
        <f>Vanzari!$M86-Vanzari!$L86</f>
        <v>3012.1299999999997</v>
      </c>
      <c r="P86" s="15" cm="1">
        <f t="array" ref="P86">ProfitImpozitat(Vanzari!$O86)</f>
        <v>2108.491</v>
      </c>
    </row>
    <row r="87" spans="1:16" x14ac:dyDescent="0.2">
      <c r="A87" s="14">
        <v>44284</v>
      </c>
      <c r="B87" s="7" t="s">
        <v>6</v>
      </c>
      <c r="C87" s="7" t="s">
        <v>59</v>
      </c>
      <c r="D87" s="7" t="s">
        <v>51</v>
      </c>
      <c r="E87" s="7" t="s">
        <v>26</v>
      </c>
      <c r="F87" s="7">
        <v>193</v>
      </c>
      <c r="G87" s="15">
        <v>5</v>
      </c>
      <c r="H87" s="15">
        <v>20</v>
      </c>
      <c r="I87" s="15" t="str">
        <f>IF(Vanzari!$D87="Băuturi alcoolice şi ţigări","ACCIZA","TVA")</f>
        <v>ACCIZA</v>
      </c>
      <c r="J87" s="15">
        <f>IF(Vanzari!$D87="Băuturi alcoolice şi ţigări",Vanzari!$H87*0.05,Vanzari!$H87*0.09)</f>
        <v>1</v>
      </c>
      <c r="K87" s="15">
        <f>SUM(Vanzari!$H87,Vanzari!$J87)</f>
        <v>21</v>
      </c>
      <c r="L87" s="15">
        <f>Vanzari!$F87*Vanzari!$G87</f>
        <v>965</v>
      </c>
      <c r="M87" s="15">
        <f>Vanzari!$F87*Vanzari!$K87</f>
        <v>4053</v>
      </c>
      <c r="N87" s="15" t="str">
        <f>IF(Vanzari!$M87&gt;Vanzari!$L87,"PROFIT","PIERDERE")</f>
        <v>PROFIT</v>
      </c>
      <c r="O87" s="15">
        <f>Vanzari!$M87-Vanzari!$L87</f>
        <v>3088</v>
      </c>
      <c r="P87" s="15" cm="1">
        <f t="array" ref="P87">ProfitImpozitat(Vanzari!$O87)</f>
        <v>2161.6</v>
      </c>
    </row>
    <row r="88" spans="1:16" x14ac:dyDescent="0.2">
      <c r="A88" s="14">
        <v>44880</v>
      </c>
      <c r="B88" s="7" t="s">
        <v>5</v>
      </c>
      <c r="C88" s="7" t="s">
        <v>5</v>
      </c>
      <c r="D88" s="7" t="s">
        <v>51</v>
      </c>
      <c r="E88" s="7" t="s">
        <v>55</v>
      </c>
      <c r="F88" s="7">
        <v>146</v>
      </c>
      <c r="G88" s="15">
        <v>9.6199999999999992</v>
      </c>
      <c r="H88" s="15">
        <v>29.8</v>
      </c>
      <c r="I88" s="15" t="str">
        <f>IF(Vanzari!$D88="Băuturi alcoolice şi ţigări","ACCIZA","TVA")</f>
        <v>ACCIZA</v>
      </c>
      <c r="J88" s="15">
        <f>IF(Vanzari!$D88="Băuturi alcoolice şi ţigări",Vanzari!$H88*0.05,Vanzari!$H88*0.09)</f>
        <v>1.4900000000000002</v>
      </c>
      <c r="K88" s="15">
        <f>SUM(Vanzari!$H88,Vanzari!$J88)</f>
        <v>31.29</v>
      </c>
      <c r="L88" s="15">
        <f>Vanzari!$F88*Vanzari!$G88</f>
        <v>1404.52</v>
      </c>
      <c r="M88" s="15">
        <f>Vanzari!$F88*Vanzari!$K88</f>
        <v>4568.34</v>
      </c>
      <c r="N88" s="15" t="str">
        <f>IF(Vanzari!$M88&gt;Vanzari!$L88,"PROFIT","PIERDERE")</f>
        <v>PROFIT</v>
      </c>
      <c r="O88" s="15">
        <f>Vanzari!$M88-Vanzari!$L88</f>
        <v>3163.82</v>
      </c>
      <c r="P88" s="15" cm="1">
        <f t="array" ref="P88">ProfitImpozitat(Vanzari!$O88)</f>
        <v>2214.674</v>
      </c>
    </row>
    <row r="89" spans="1:16" x14ac:dyDescent="0.2">
      <c r="A89" s="14">
        <v>44482</v>
      </c>
      <c r="B89" s="7" t="s">
        <v>5</v>
      </c>
      <c r="C89" s="7" t="s">
        <v>5</v>
      </c>
      <c r="D89" s="7" t="s">
        <v>51</v>
      </c>
      <c r="E89" s="7" t="s">
        <v>20</v>
      </c>
      <c r="F89" s="7">
        <v>224</v>
      </c>
      <c r="G89" s="15">
        <v>5</v>
      </c>
      <c r="H89" s="15">
        <v>20</v>
      </c>
      <c r="I89" s="15" t="str">
        <f>IF(Vanzari!$D89="Băuturi alcoolice şi ţigări","ACCIZA","TVA")</f>
        <v>ACCIZA</v>
      </c>
      <c r="J89" s="15">
        <f>IF(Vanzari!$D89="Băuturi alcoolice şi ţigări",Vanzari!$H89*0.05,Vanzari!$H89*0.09)</f>
        <v>1</v>
      </c>
      <c r="K89" s="15">
        <f>SUM(Vanzari!$H89,Vanzari!$J89)</f>
        <v>21</v>
      </c>
      <c r="L89" s="15">
        <f>Vanzari!$F89*Vanzari!$G89</f>
        <v>1120</v>
      </c>
      <c r="M89" s="15">
        <f>Vanzari!$F89*Vanzari!$K89</f>
        <v>4704</v>
      </c>
      <c r="N89" s="15" t="str">
        <f>IF(Vanzari!$M89&gt;Vanzari!$L89,"PROFIT","PIERDERE")</f>
        <v>PROFIT</v>
      </c>
      <c r="O89" s="15">
        <f>Vanzari!$M89-Vanzari!$L89</f>
        <v>3584</v>
      </c>
      <c r="P89" s="15" cm="1">
        <f t="array" ref="P89">ProfitImpozitat(Vanzari!$O89)</f>
        <v>2508.8000000000002</v>
      </c>
    </row>
    <row r="90" spans="1:16" x14ac:dyDescent="0.2">
      <c r="A90" s="14">
        <v>44841</v>
      </c>
      <c r="B90" s="7" t="s">
        <v>5</v>
      </c>
      <c r="C90" s="7" t="s">
        <v>5</v>
      </c>
      <c r="D90" s="7" t="s">
        <v>51</v>
      </c>
      <c r="E90" s="7" t="s">
        <v>55</v>
      </c>
      <c r="F90" s="7">
        <v>175</v>
      </c>
      <c r="G90" s="15">
        <v>9.6199999999999992</v>
      </c>
      <c r="H90" s="15">
        <v>29.8</v>
      </c>
      <c r="I90" s="15" t="str">
        <f>IF(Vanzari!$D90="Băuturi alcoolice şi ţigări","ACCIZA","TVA")</f>
        <v>ACCIZA</v>
      </c>
      <c r="J90" s="15">
        <f>IF(Vanzari!$D90="Băuturi alcoolice şi ţigări",Vanzari!$H90*0.05,Vanzari!$H90*0.09)</f>
        <v>1.4900000000000002</v>
      </c>
      <c r="K90" s="15">
        <f>SUM(Vanzari!$H90,Vanzari!$J90)</f>
        <v>31.29</v>
      </c>
      <c r="L90" s="15">
        <f>Vanzari!$F90*Vanzari!$G90</f>
        <v>1683.4999999999998</v>
      </c>
      <c r="M90" s="15">
        <f>Vanzari!$F90*Vanzari!$K90</f>
        <v>5475.75</v>
      </c>
      <c r="N90" s="15" t="str">
        <f>IF(Vanzari!$M90&gt;Vanzari!$L90,"PROFIT","PIERDERE")</f>
        <v>PROFIT</v>
      </c>
      <c r="O90" s="15">
        <f>Vanzari!$M90-Vanzari!$L90</f>
        <v>3792.25</v>
      </c>
      <c r="P90" s="15" cm="1">
        <f t="array" ref="P90">ProfitImpozitat(Vanzari!$O90)</f>
        <v>2654.5749999999998</v>
      </c>
    </row>
    <row r="91" spans="1:16" x14ac:dyDescent="0.2">
      <c r="A91" s="14">
        <v>44620</v>
      </c>
      <c r="B91" s="7" t="s">
        <v>1</v>
      </c>
      <c r="C91" s="7" t="s">
        <v>0</v>
      </c>
      <c r="D91" s="7" t="s">
        <v>51</v>
      </c>
      <c r="E91" s="7" t="s">
        <v>16</v>
      </c>
      <c r="F91" s="7">
        <v>232</v>
      </c>
      <c r="G91" s="15">
        <v>37.909999999999997</v>
      </c>
      <c r="H91" s="15">
        <v>54.32</v>
      </c>
      <c r="I91" s="15" t="str">
        <f>IF(Vanzari!$D91="Băuturi alcoolice şi ţigări","ACCIZA","TVA")</f>
        <v>ACCIZA</v>
      </c>
      <c r="J91" s="15">
        <f>IF(Vanzari!$D91="Băuturi alcoolice şi ţigări",Vanzari!$H91*0.05,Vanzari!$H91*0.09)</f>
        <v>2.7160000000000002</v>
      </c>
      <c r="K91" s="15">
        <f>SUM(Vanzari!$H91,Vanzari!$J91)</f>
        <v>57.036000000000001</v>
      </c>
      <c r="L91" s="15">
        <f>Vanzari!$F91*Vanzari!$G91</f>
        <v>8795.119999999999</v>
      </c>
      <c r="M91" s="15">
        <f>Vanzari!$F91*Vanzari!$K91</f>
        <v>13232.352000000001</v>
      </c>
      <c r="N91" s="15" t="str">
        <f>IF(Vanzari!$M91&gt;Vanzari!$L91,"PROFIT","PIERDERE")</f>
        <v>PROFIT</v>
      </c>
      <c r="O91" s="15">
        <f>Vanzari!$M91-Vanzari!$L91</f>
        <v>4437.2320000000018</v>
      </c>
      <c r="P91" s="15" cm="1">
        <f t="array" ref="P91">ProfitImpozitat(Vanzari!$O91)</f>
        <v>3106.0624000000016</v>
      </c>
    </row>
    <row r="92" spans="1:16" x14ac:dyDescent="0.2">
      <c r="A92" s="14">
        <v>44203</v>
      </c>
      <c r="B92" s="7" t="s">
        <v>1</v>
      </c>
      <c r="C92" s="7" t="s">
        <v>0</v>
      </c>
      <c r="D92" s="7" t="s">
        <v>51</v>
      </c>
      <c r="E92" s="7" t="s">
        <v>26</v>
      </c>
      <c r="F92" s="7">
        <v>280</v>
      </c>
      <c r="G92" s="15">
        <v>5</v>
      </c>
      <c r="H92" s="15">
        <v>20</v>
      </c>
      <c r="I92" s="15" t="str">
        <f>IF(Vanzari!$D92="Băuturi alcoolice şi ţigări","ACCIZA","TVA")</f>
        <v>ACCIZA</v>
      </c>
      <c r="J92" s="15">
        <f>IF(Vanzari!$D92="Băuturi alcoolice şi ţigări",Vanzari!$H92*0.05,Vanzari!$H92*0.09)</f>
        <v>1</v>
      </c>
      <c r="K92" s="15">
        <f>SUM(Vanzari!$H92,Vanzari!$J92)</f>
        <v>21</v>
      </c>
      <c r="L92" s="15">
        <f>Vanzari!$F92*Vanzari!$G92</f>
        <v>1400</v>
      </c>
      <c r="M92" s="15">
        <f>Vanzari!$F92*Vanzari!$K92</f>
        <v>5880</v>
      </c>
      <c r="N92" s="15" t="str">
        <f>IF(Vanzari!$M92&gt;Vanzari!$L92,"PROFIT","PIERDERE")</f>
        <v>PROFIT</v>
      </c>
      <c r="O92" s="15">
        <f>Vanzari!$M92-Vanzari!$L92</f>
        <v>4480</v>
      </c>
      <c r="P92" s="15" cm="1">
        <f t="array" ref="P92">ProfitImpozitat(Vanzari!$O92)</f>
        <v>3136</v>
      </c>
    </row>
    <row r="93" spans="1:16" x14ac:dyDescent="0.2">
      <c r="A93" s="14">
        <v>44554</v>
      </c>
      <c r="B93" s="7" t="s">
        <v>5</v>
      </c>
      <c r="C93" s="7" t="s">
        <v>5</v>
      </c>
      <c r="D93" s="7" t="s">
        <v>51</v>
      </c>
      <c r="E93" s="7" t="s">
        <v>16</v>
      </c>
      <c r="F93" s="7">
        <v>237</v>
      </c>
      <c r="G93" s="15">
        <v>37.909999999999997</v>
      </c>
      <c r="H93" s="15">
        <v>54.32</v>
      </c>
      <c r="I93" s="15" t="str">
        <f>IF(Vanzari!$D93="Băuturi alcoolice şi ţigări","ACCIZA","TVA")</f>
        <v>ACCIZA</v>
      </c>
      <c r="J93" s="15">
        <f>IF(Vanzari!$D93="Băuturi alcoolice şi ţigări",Vanzari!$H93*0.05,Vanzari!$H93*0.09)</f>
        <v>2.7160000000000002</v>
      </c>
      <c r="K93" s="15">
        <f>SUM(Vanzari!$H93,Vanzari!$J93)</f>
        <v>57.036000000000001</v>
      </c>
      <c r="L93" s="15">
        <f>Vanzari!$F93*Vanzari!$G93</f>
        <v>8984.67</v>
      </c>
      <c r="M93" s="15">
        <f>Vanzari!$F93*Vanzari!$K93</f>
        <v>13517.532000000001</v>
      </c>
      <c r="N93" s="15" t="str">
        <f>IF(Vanzari!$M93&gt;Vanzari!$L93,"PROFIT","PIERDERE")</f>
        <v>PROFIT</v>
      </c>
      <c r="O93" s="15">
        <f>Vanzari!$M93-Vanzari!$L93</f>
        <v>4532.862000000001</v>
      </c>
      <c r="P93" s="15" cm="1">
        <f t="array" ref="P93">ProfitImpozitat(Vanzari!$O93)</f>
        <v>3173.0034000000005</v>
      </c>
    </row>
    <row r="94" spans="1:16" x14ac:dyDescent="0.2">
      <c r="A94" s="14">
        <v>44892</v>
      </c>
      <c r="B94" s="7" t="s">
        <v>6</v>
      </c>
      <c r="C94" s="7" t="s">
        <v>59</v>
      </c>
      <c r="D94" s="7" t="s">
        <v>51</v>
      </c>
      <c r="E94" s="7" t="s">
        <v>55</v>
      </c>
      <c r="F94" s="7">
        <v>211</v>
      </c>
      <c r="G94" s="15">
        <v>9.6199999999999992</v>
      </c>
      <c r="H94" s="15">
        <v>29.8</v>
      </c>
      <c r="I94" s="15" t="str">
        <f>IF(Vanzari!$D94="Băuturi alcoolice şi ţigări","ACCIZA","TVA")</f>
        <v>ACCIZA</v>
      </c>
      <c r="J94" s="15">
        <f>IF(Vanzari!$D94="Băuturi alcoolice şi ţigări",Vanzari!$H94*0.05,Vanzari!$H94*0.09)</f>
        <v>1.4900000000000002</v>
      </c>
      <c r="K94" s="15">
        <f>SUM(Vanzari!$H94,Vanzari!$J94)</f>
        <v>31.29</v>
      </c>
      <c r="L94" s="15">
        <f>Vanzari!$F94*Vanzari!$G94</f>
        <v>2029.82</v>
      </c>
      <c r="M94" s="15">
        <f>Vanzari!$F94*Vanzari!$K94</f>
        <v>6602.19</v>
      </c>
      <c r="N94" s="15" t="str">
        <f>IF(Vanzari!$M94&gt;Vanzari!$L94,"PROFIT","PIERDERE")</f>
        <v>PROFIT</v>
      </c>
      <c r="O94" s="15">
        <f>Vanzari!$M94-Vanzari!$L94</f>
        <v>4572.37</v>
      </c>
      <c r="P94" s="15" cm="1">
        <f t="array" ref="P94">ProfitImpozitat(Vanzari!$O94)</f>
        <v>3200.6589999999997</v>
      </c>
    </row>
    <row r="95" spans="1:16" x14ac:dyDescent="0.2">
      <c r="A95" s="14">
        <v>44350</v>
      </c>
      <c r="B95" s="7" t="s">
        <v>1</v>
      </c>
      <c r="C95" s="7" t="s">
        <v>0</v>
      </c>
      <c r="D95" s="7" t="s">
        <v>51</v>
      </c>
      <c r="E95" s="7" t="s">
        <v>54</v>
      </c>
      <c r="F95" s="7">
        <v>288</v>
      </c>
      <c r="G95" s="15">
        <v>5</v>
      </c>
      <c r="H95" s="15">
        <v>20</v>
      </c>
      <c r="I95" s="15" t="str">
        <f>IF(Vanzari!$D95="Băuturi alcoolice şi ţigări","ACCIZA","TVA")</f>
        <v>ACCIZA</v>
      </c>
      <c r="J95" s="15">
        <f>IF(Vanzari!$D95="Băuturi alcoolice şi ţigări",Vanzari!$H95*0.05,Vanzari!$H95*0.09)</f>
        <v>1</v>
      </c>
      <c r="K95" s="15">
        <f>SUM(Vanzari!$H95,Vanzari!$J95)</f>
        <v>21</v>
      </c>
      <c r="L95" s="15">
        <f>Vanzari!$F95*Vanzari!$G95</f>
        <v>1440</v>
      </c>
      <c r="M95" s="15">
        <f>Vanzari!$F95*Vanzari!$K95</f>
        <v>6048</v>
      </c>
      <c r="N95" s="15" t="str">
        <f>IF(Vanzari!$M95&gt;Vanzari!$L95,"PROFIT","PIERDERE")</f>
        <v>PROFIT</v>
      </c>
      <c r="O95" s="15">
        <f>Vanzari!$M95-Vanzari!$L95</f>
        <v>4608</v>
      </c>
      <c r="P95" s="15" cm="1">
        <f t="array" ref="P95">ProfitImpozitat(Vanzari!$O95)</f>
        <v>3225.6000000000004</v>
      </c>
    </row>
    <row r="96" spans="1:16" x14ac:dyDescent="0.2">
      <c r="A96" s="14">
        <v>44916</v>
      </c>
      <c r="B96" s="7" t="s">
        <v>6</v>
      </c>
      <c r="C96" s="7" t="s">
        <v>59</v>
      </c>
      <c r="D96" s="7" t="s">
        <v>51</v>
      </c>
      <c r="E96" s="7" t="s">
        <v>55</v>
      </c>
      <c r="F96" s="7">
        <v>245</v>
      </c>
      <c r="G96" s="15">
        <v>9.6199999999999992</v>
      </c>
      <c r="H96" s="15">
        <v>29.8</v>
      </c>
      <c r="I96" s="15" t="str">
        <f>IF(Vanzari!$D96="Băuturi alcoolice şi ţigări","ACCIZA","TVA")</f>
        <v>ACCIZA</v>
      </c>
      <c r="J96" s="15">
        <f>IF(Vanzari!$D96="Băuturi alcoolice şi ţigări",Vanzari!$H96*0.05,Vanzari!$H96*0.09)</f>
        <v>1.4900000000000002</v>
      </c>
      <c r="K96" s="15">
        <f>SUM(Vanzari!$H96,Vanzari!$J96)</f>
        <v>31.29</v>
      </c>
      <c r="L96" s="15">
        <f>Vanzari!$F96*Vanzari!$G96</f>
        <v>2356.8999999999996</v>
      </c>
      <c r="M96" s="15">
        <f>Vanzari!$F96*Vanzari!$K96</f>
        <v>7666.05</v>
      </c>
      <c r="N96" s="15" t="str">
        <f>IF(Vanzari!$M96&gt;Vanzari!$L96,"PROFIT","PIERDERE")</f>
        <v>PROFIT</v>
      </c>
      <c r="O96" s="15">
        <f>Vanzari!$M96-Vanzari!$L96</f>
        <v>5309.1500000000005</v>
      </c>
      <c r="P96" s="15" cm="1">
        <f t="array" ref="P96">ProfitImpozitat(Vanzari!$O96)</f>
        <v>3716.4050000000007</v>
      </c>
    </row>
    <row r="97" spans="1:16" x14ac:dyDescent="0.2">
      <c r="A97" s="14">
        <v>44856</v>
      </c>
      <c r="B97" s="7" t="s">
        <v>6</v>
      </c>
      <c r="C97" s="7" t="s">
        <v>59</v>
      </c>
      <c r="D97" s="7" t="s">
        <v>4</v>
      </c>
      <c r="E97" s="7" t="s">
        <v>3</v>
      </c>
      <c r="F97" s="7">
        <v>35</v>
      </c>
      <c r="G97" s="15">
        <v>2.2000000000000002</v>
      </c>
      <c r="H97" s="15">
        <v>3.2</v>
      </c>
      <c r="I97" s="15" t="str">
        <f>IF(Vanzari!$D97="Băuturi alcoolice şi ţigări","ACCIZA","TVA")</f>
        <v>TVA</v>
      </c>
      <c r="J97" s="15">
        <f>IF(Vanzari!$D97="Băuturi alcoolice şi ţigări",Vanzari!$H97*0.05,Vanzari!$H97*0.09)</f>
        <v>0.28799999999999998</v>
      </c>
      <c r="K97" s="15">
        <f>SUM(Vanzari!$H97,Vanzari!$J97)</f>
        <v>3.488</v>
      </c>
      <c r="L97" s="15">
        <f>Vanzari!$F97*Vanzari!$G97</f>
        <v>77</v>
      </c>
      <c r="M97" s="15">
        <f>Vanzari!$F97*Vanzari!$K97</f>
        <v>122.08</v>
      </c>
      <c r="N97" s="15" t="str">
        <f>IF(Vanzari!$M97&gt;Vanzari!$L97,"PROFIT","PIERDERE")</f>
        <v>PROFIT</v>
      </c>
      <c r="O97" s="15">
        <f>Vanzari!$M97-Vanzari!$L97</f>
        <v>45.08</v>
      </c>
      <c r="P97" s="15" cm="1">
        <f t="array" ref="P97">ProfitImpozitat(Vanzari!$O97)</f>
        <v>45.08</v>
      </c>
    </row>
    <row r="98" spans="1:16" x14ac:dyDescent="0.2">
      <c r="A98" s="14">
        <v>44488</v>
      </c>
      <c r="B98" s="7" t="s">
        <v>5</v>
      </c>
      <c r="C98" s="7" t="s">
        <v>5</v>
      </c>
      <c r="D98" s="7" t="s">
        <v>4</v>
      </c>
      <c r="E98" s="7" t="s">
        <v>22</v>
      </c>
      <c r="F98" s="7">
        <v>90</v>
      </c>
      <c r="G98" s="15">
        <v>1.69</v>
      </c>
      <c r="H98" s="15">
        <v>2.4900000000000002</v>
      </c>
      <c r="I98" s="15" t="str">
        <f>IF(Vanzari!$D98="Băuturi alcoolice şi ţigări","ACCIZA","TVA")</f>
        <v>TVA</v>
      </c>
      <c r="J98" s="15">
        <f>IF(Vanzari!$D98="Băuturi alcoolice şi ţigări",Vanzari!$H98*0.05,Vanzari!$H98*0.09)</f>
        <v>0.22410000000000002</v>
      </c>
      <c r="K98" s="15">
        <f>SUM(Vanzari!$H98,Vanzari!$J98)</f>
        <v>2.7141000000000002</v>
      </c>
      <c r="L98" s="15">
        <f>Vanzari!$F98*Vanzari!$G98</f>
        <v>152.1</v>
      </c>
      <c r="M98" s="15">
        <f>Vanzari!$F98*Vanzari!$K98</f>
        <v>244.26900000000001</v>
      </c>
      <c r="N98" s="15" t="str">
        <f>IF(Vanzari!$M98&gt;Vanzari!$L98,"PROFIT","PIERDERE")</f>
        <v>PROFIT</v>
      </c>
      <c r="O98" s="15">
        <f>Vanzari!$M98-Vanzari!$L98</f>
        <v>92.169000000000011</v>
      </c>
      <c r="P98" s="15" cm="1">
        <f t="array" ref="P98">ProfitImpozitat(Vanzari!$O98)</f>
        <v>92.169000000000011</v>
      </c>
    </row>
    <row r="99" spans="1:16" x14ac:dyDescent="0.2">
      <c r="A99" s="14">
        <v>44473</v>
      </c>
      <c r="B99" s="7" t="s">
        <v>6</v>
      </c>
      <c r="C99" s="7" t="s">
        <v>59</v>
      </c>
      <c r="D99" s="7" t="s">
        <v>4</v>
      </c>
      <c r="E99" s="7" t="s">
        <v>22</v>
      </c>
      <c r="F99" s="7">
        <v>110</v>
      </c>
      <c r="G99" s="15">
        <v>1.69</v>
      </c>
      <c r="H99" s="15">
        <v>2.4900000000000002</v>
      </c>
      <c r="I99" s="15" t="str">
        <f>IF(Vanzari!$D99="Băuturi alcoolice şi ţigări","ACCIZA","TVA")</f>
        <v>TVA</v>
      </c>
      <c r="J99" s="15">
        <f>IF(Vanzari!$D99="Băuturi alcoolice şi ţigări",Vanzari!$H99*0.05,Vanzari!$H99*0.09)</f>
        <v>0.22410000000000002</v>
      </c>
      <c r="K99" s="15">
        <f>SUM(Vanzari!$H99,Vanzari!$J99)</f>
        <v>2.7141000000000002</v>
      </c>
      <c r="L99" s="15">
        <f>Vanzari!$F99*Vanzari!$G99</f>
        <v>185.9</v>
      </c>
      <c r="M99" s="15">
        <f>Vanzari!$F99*Vanzari!$K99</f>
        <v>298.55100000000004</v>
      </c>
      <c r="N99" s="15" t="str">
        <f>IF(Vanzari!$M99&gt;Vanzari!$L99,"PROFIT","PIERDERE")</f>
        <v>PROFIT</v>
      </c>
      <c r="O99" s="15">
        <f>Vanzari!$M99-Vanzari!$L99</f>
        <v>112.65100000000004</v>
      </c>
      <c r="P99" s="15" cm="1">
        <f t="array" ref="P99">ProfitImpozitat(Vanzari!$O99)</f>
        <v>111.52449000000004</v>
      </c>
    </row>
    <row r="100" spans="1:16" x14ac:dyDescent="0.2">
      <c r="A100" s="14">
        <v>44419</v>
      </c>
      <c r="B100" s="7" t="s">
        <v>5</v>
      </c>
      <c r="C100" s="7" t="s">
        <v>5</v>
      </c>
      <c r="D100" s="7" t="s">
        <v>4</v>
      </c>
      <c r="E100" s="7" t="s">
        <v>22</v>
      </c>
      <c r="F100" s="7">
        <v>120</v>
      </c>
      <c r="G100" s="15">
        <v>1.69</v>
      </c>
      <c r="H100" s="15">
        <v>2.4900000000000002</v>
      </c>
      <c r="I100" s="15" t="str">
        <f>IF(Vanzari!$D100="Băuturi alcoolice şi ţigări","ACCIZA","TVA")</f>
        <v>TVA</v>
      </c>
      <c r="J100" s="15">
        <f>IF(Vanzari!$D100="Băuturi alcoolice şi ţigări",Vanzari!$H100*0.05,Vanzari!$H100*0.09)</f>
        <v>0.22410000000000002</v>
      </c>
      <c r="K100" s="15">
        <f>SUM(Vanzari!$H100,Vanzari!$J100)</f>
        <v>2.7141000000000002</v>
      </c>
      <c r="L100" s="15">
        <f>Vanzari!$F100*Vanzari!$G100</f>
        <v>202.79999999999998</v>
      </c>
      <c r="M100" s="15">
        <f>Vanzari!$F100*Vanzari!$K100</f>
        <v>325.69200000000001</v>
      </c>
      <c r="N100" s="15" t="str">
        <f>IF(Vanzari!$M100&gt;Vanzari!$L100,"PROFIT","PIERDERE")</f>
        <v>PROFIT</v>
      </c>
      <c r="O100" s="15">
        <f>Vanzari!$M100-Vanzari!$L100</f>
        <v>122.89200000000002</v>
      </c>
      <c r="P100" s="15" cm="1">
        <f t="array" ref="P100">ProfitImpozitat(Vanzari!$O100)</f>
        <v>121.66308000000002</v>
      </c>
    </row>
    <row r="101" spans="1:16" x14ac:dyDescent="0.2">
      <c r="A101" s="14">
        <v>44742</v>
      </c>
      <c r="B101" s="7" t="s">
        <v>6</v>
      </c>
      <c r="C101" s="7" t="s">
        <v>59</v>
      </c>
      <c r="D101" s="7" t="s">
        <v>4</v>
      </c>
      <c r="E101" s="7" t="s">
        <v>11</v>
      </c>
      <c r="F101" s="7">
        <v>40</v>
      </c>
      <c r="G101" s="15">
        <v>2.9</v>
      </c>
      <c r="H101" s="15">
        <v>5.5</v>
      </c>
      <c r="I101" s="15" t="str">
        <f>IF(Vanzari!$D101="Băuturi alcoolice şi ţigări","ACCIZA","TVA")</f>
        <v>TVA</v>
      </c>
      <c r="J101" s="15">
        <f>IF(Vanzari!$D101="Băuturi alcoolice şi ţigări",Vanzari!$H101*0.05,Vanzari!$H101*0.09)</f>
        <v>0.495</v>
      </c>
      <c r="K101" s="15">
        <f>SUM(Vanzari!$H101,Vanzari!$J101)</f>
        <v>5.9950000000000001</v>
      </c>
      <c r="L101" s="15">
        <f>Vanzari!$F101*Vanzari!$G101</f>
        <v>116</v>
      </c>
      <c r="M101" s="15">
        <f>Vanzari!$F101*Vanzari!$K101</f>
        <v>239.8</v>
      </c>
      <c r="N101" s="15" t="str">
        <f>IF(Vanzari!$M101&gt;Vanzari!$L101,"PROFIT","PIERDERE")</f>
        <v>PROFIT</v>
      </c>
      <c r="O101" s="15">
        <f>Vanzari!$M101-Vanzari!$L101</f>
        <v>123.80000000000001</v>
      </c>
      <c r="P101" s="15" cm="1">
        <f t="array" ref="P101">ProfitImpozitat(Vanzari!$O101)</f>
        <v>122.56200000000001</v>
      </c>
    </row>
    <row r="102" spans="1:16" x14ac:dyDescent="0.2">
      <c r="A102" s="14">
        <v>44907</v>
      </c>
      <c r="B102" s="7" t="s">
        <v>5</v>
      </c>
      <c r="C102" s="7" t="s">
        <v>5</v>
      </c>
      <c r="D102" s="7" t="s">
        <v>4</v>
      </c>
      <c r="E102" s="7" t="s">
        <v>3</v>
      </c>
      <c r="F102" s="7">
        <v>125</v>
      </c>
      <c r="G102" s="15">
        <v>2.2000000000000002</v>
      </c>
      <c r="H102" s="15">
        <v>3.2</v>
      </c>
      <c r="I102" s="15" t="str">
        <f>IF(Vanzari!$D102="Băuturi alcoolice şi ţigări","ACCIZA","TVA")</f>
        <v>TVA</v>
      </c>
      <c r="J102" s="15">
        <f>IF(Vanzari!$D102="Băuturi alcoolice şi ţigări",Vanzari!$H102*0.05,Vanzari!$H102*0.09)</f>
        <v>0.28799999999999998</v>
      </c>
      <c r="K102" s="15">
        <f>SUM(Vanzari!$H102,Vanzari!$J102)</f>
        <v>3.488</v>
      </c>
      <c r="L102" s="15">
        <f>Vanzari!$F102*Vanzari!$G102</f>
        <v>275</v>
      </c>
      <c r="M102" s="15">
        <f>Vanzari!$F102*Vanzari!$K102</f>
        <v>436</v>
      </c>
      <c r="N102" s="15" t="str">
        <f>IF(Vanzari!$M102&gt;Vanzari!$L102,"PROFIT","PIERDERE")</f>
        <v>PROFIT</v>
      </c>
      <c r="O102" s="15">
        <f>Vanzari!$M102-Vanzari!$L102</f>
        <v>161</v>
      </c>
      <c r="P102" s="15" cm="1">
        <f t="array" ref="P102">ProfitImpozitat(Vanzari!$O102)</f>
        <v>159.38999999999999</v>
      </c>
    </row>
    <row r="103" spans="1:16" x14ac:dyDescent="0.2">
      <c r="A103" s="14">
        <v>44545</v>
      </c>
      <c r="B103" s="7" t="s">
        <v>6</v>
      </c>
      <c r="C103" s="7" t="s">
        <v>59</v>
      </c>
      <c r="D103" s="7" t="s">
        <v>4</v>
      </c>
      <c r="E103" s="7" t="s">
        <v>19</v>
      </c>
      <c r="F103" s="7">
        <v>140</v>
      </c>
      <c r="G103" s="15">
        <v>2.41</v>
      </c>
      <c r="H103" s="15">
        <v>3.7</v>
      </c>
      <c r="I103" s="15" t="str">
        <f>IF(Vanzari!$D103="Băuturi alcoolice şi ţigări","ACCIZA","TVA")</f>
        <v>TVA</v>
      </c>
      <c r="J103" s="15">
        <f>IF(Vanzari!$D103="Băuturi alcoolice şi ţigări",Vanzari!$H103*0.05,Vanzari!$H103*0.09)</f>
        <v>0.33300000000000002</v>
      </c>
      <c r="K103" s="15">
        <f>SUM(Vanzari!$H103,Vanzari!$J103)</f>
        <v>4.0330000000000004</v>
      </c>
      <c r="L103" s="15">
        <f>Vanzari!$F103*Vanzari!$G103</f>
        <v>337.40000000000003</v>
      </c>
      <c r="M103" s="15">
        <f>Vanzari!$F103*Vanzari!$K103</f>
        <v>564.62</v>
      </c>
      <c r="N103" s="15" t="str">
        <f>IF(Vanzari!$M103&gt;Vanzari!$L103,"PROFIT","PIERDERE")</f>
        <v>PROFIT</v>
      </c>
      <c r="O103" s="15">
        <f>Vanzari!$M103-Vanzari!$L103</f>
        <v>227.21999999999997</v>
      </c>
      <c r="P103" s="15" cm="1">
        <f t="array" ref="P103">ProfitImpozitat(Vanzari!$O103)</f>
        <v>224.94779999999997</v>
      </c>
    </row>
    <row r="104" spans="1:16" x14ac:dyDescent="0.2">
      <c r="A104" s="14">
        <v>44721</v>
      </c>
      <c r="B104" s="7" t="s">
        <v>6</v>
      </c>
      <c r="C104" s="7" t="s">
        <v>59</v>
      </c>
      <c r="D104" s="7" t="s">
        <v>4</v>
      </c>
      <c r="E104" s="7" t="s">
        <v>11</v>
      </c>
      <c r="F104" s="7">
        <v>90</v>
      </c>
      <c r="G104" s="15">
        <v>2.9</v>
      </c>
      <c r="H104" s="15">
        <v>5.5</v>
      </c>
      <c r="I104" s="15" t="str">
        <f>IF(Vanzari!$D104="Băuturi alcoolice şi ţigări","ACCIZA","TVA")</f>
        <v>TVA</v>
      </c>
      <c r="J104" s="15">
        <f>IF(Vanzari!$D104="Băuturi alcoolice şi ţigări",Vanzari!$H104*0.05,Vanzari!$H104*0.09)</f>
        <v>0.495</v>
      </c>
      <c r="K104" s="15">
        <f>SUM(Vanzari!$H104,Vanzari!$J104)</f>
        <v>5.9950000000000001</v>
      </c>
      <c r="L104" s="15">
        <f>Vanzari!$F104*Vanzari!$G104</f>
        <v>261</v>
      </c>
      <c r="M104" s="15">
        <f>Vanzari!$F104*Vanzari!$K104</f>
        <v>539.54999999999995</v>
      </c>
      <c r="N104" s="15" t="str">
        <f>IF(Vanzari!$M104&gt;Vanzari!$L104,"PROFIT","PIERDERE")</f>
        <v>PROFIT</v>
      </c>
      <c r="O104" s="15">
        <f>Vanzari!$M104-Vanzari!$L104</f>
        <v>278.54999999999995</v>
      </c>
      <c r="P104" s="15" cm="1">
        <f t="array" ref="P104">ProfitImpozitat(Vanzari!$O104)</f>
        <v>275.76449999999994</v>
      </c>
    </row>
    <row r="105" spans="1:16" x14ac:dyDescent="0.2">
      <c r="A105" s="14">
        <v>44347</v>
      </c>
      <c r="B105" s="7" t="s">
        <v>6</v>
      </c>
      <c r="C105" s="7" t="s">
        <v>59</v>
      </c>
      <c r="D105" s="7" t="s">
        <v>4</v>
      </c>
      <c r="E105" s="7" t="s">
        <v>56</v>
      </c>
      <c r="F105" s="7">
        <v>125</v>
      </c>
      <c r="G105" s="15">
        <v>6.23</v>
      </c>
      <c r="H105" s="15">
        <v>8</v>
      </c>
      <c r="I105" s="15" t="str">
        <f>IF(Vanzari!$D105="Băuturi alcoolice şi ţigări","ACCIZA","TVA")</f>
        <v>TVA</v>
      </c>
      <c r="J105" s="15">
        <f>IF(Vanzari!$D105="Băuturi alcoolice şi ţigări",Vanzari!$H105*0.05,Vanzari!$H105*0.09)</f>
        <v>0.72</v>
      </c>
      <c r="K105" s="15">
        <f>SUM(Vanzari!$H105,Vanzari!$J105)</f>
        <v>8.7200000000000006</v>
      </c>
      <c r="L105" s="15">
        <f>Vanzari!$F105*Vanzari!$G105</f>
        <v>778.75</v>
      </c>
      <c r="M105" s="15">
        <f>Vanzari!$F105*Vanzari!$K105</f>
        <v>1090</v>
      </c>
      <c r="N105" s="15" t="str">
        <f>IF(Vanzari!$M105&gt;Vanzari!$L105,"PROFIT","PIERDERE")</f>
        <v>PROFIT</v>
      </c>
      <c r="O105" s="15">
        <f>Vanzari!$M105-Vanzari!$L105</f>
        <v>311.25</v>
      </c>
      <c r="P105" s="15" cm="1">
        <f t="array" ref="P105">ProfitImpozitat(Vanzari!$O105)</f>
        <v>308.13749999999999</v>
      </c>
    </row>
    <row r="106" spans="1:16" x14ac:dyDescent="0.2">
      <c r="A106" s="14">
        <v>44895</v>
      </c>
      <c r="B106" s="7" t="s">
        <v>6</v>
      </c>
      <c r="C106" s="7" t="s">
        <v>59</v>
      </c>
      <c r="D106" s="7" t="s">
        <v>4</v>
      </c>
      <c r="E106" s="7" t="s">
        <v>3</v>
      </c>
      <c r="F106" s="7">
        <v>250</v>
      </c>
      <c r="G106" s="15">
        <v>2.2000000000000002</v>
      </c>
      <c r="H106" s="15">
        <v>3.2</v>
      </c>
      <c r="I106" s="15" t="str">
        <f>IF(Vanzari!$D106="Băuturi alcoolice şi ţigări","ACCIZA","TVA")</f>
        <v>TVA</v>
      </c>
      <c r="J106" s="15">
        <f>IF(Vanzari!$D106="Băuturi alcoolice şi ţigări",Vanzari!$H106*0.05,Vanzari!$H106*0.09)</f>
        <v>0.28799999999999998</v>
      </c>
      <c r="K106" s="15">
        <f>SUM(Vanzari!$H106,Vanzari!$J106)</f>
        <v>3.488</v>
      </c>
      <c r="L106" s="15">
        <f>Vanzari!$F106*Vanzari!$G106</f>
        <v>550</v>
      </c>
      <c r="M106" s="15">
        <f>Vanzari!$F106*Vanzari!$K106</f>
        <v>872</v>
      </c>
      <c r="N106" s="15" t="str">
        <f>IF(Vanzari!$M106&gt;Vanzari!$L106,"PROFIT","PIERDERE")</f>
        <v>PROFIT</v>
      </c>
      <c r="O106" s="15">
        <f>Vanzari!$M106-Vanzari!$L106</f>
        <v>322</v>
      </c>
      <c r="P106" s="15" cm="1">
        <f t="array" ref="P106">ProfitImpozitat(Vanzari!$O106)</f>
        <v>318.77999999999997</v>
      </c>
    </row>
    <row r="107" spans="1:16" x14ac:dyDescent="0.2">
      <c r="A107" s="14">
        <v>44664</v>
      </c>
      <c r="B107" s="7" t="s">
        <v>1</v>
      </c>
      <c r="C107" s="7" t="s">
        <v>0</v>
      </c>
      <c r="D107" s="7" t="s">
        <v>4</v>
      </c>
      <c r="E107" s="7" t="s">
        <v>11</v>
      </c>
      <c r="F107" s="7">
        <v>120</v>
      </c>
      <c r="G107" s="15">
        <v>2.9</v>
      </c>
      <c r="H107" s="15">
        <v>5.5</v>
      </c>
      <c r="I107" s="15" t="str">
        <f>IF(Vanzari!$D107="Băuturi alcoolice şi ţigări","ACCIZA","TVA")</f>
        <v>TVA</v>
      </c>
      <c r="J107" s="15">
        <f>IF(Vanzari!$D107="Băuturi alcoolice şi ţigări",Vanzari!$H107*0.05,Vanzari!$H107*0.09)</f>
        <v>0.495</v>
      </c>
      <c r="K107" s="15">
        <f>SUM(Vanzari!$H107,Vanzari!$J107)</f>
        <v>5.9950000000000001</v>
      </c>
      <c r="L107" s="15">
        <f>Vanzari!$F107*Vanzari!$G107</f>
        <v>348</v>
      </c>
      <c r="M107" s="15">
        <f>Vanzari!$F107*Vanzari!$K107</f>
        <v>719.4</v>
      </c>
      <c r="N107" s="15" t="str">
        <f>IF(Vanzari!$M107&gt;Vanzari!$L107,"PROFIT","PIERDERE")</f>
        <v>PROFIT</v>
      </c>
      <c r="O107" s="15">
        <f>Vanzari!$M107-Vanzari!$L107</f>
        <v>371.4</v>
      </c>
      <c r="P107" s="15" cm="1">
        <f t="array" ref="P107">ProfitImpozitat(Vanzari!$O107)</f>
        <v>367.68599999999998</v>
      </c>
    </row>
    <row r="108" spans="1:16" x14ac:dyDescent="0.2">
      <c r="A108" s="14">
        <v>44431</v>
      </c>
      <c r="B108" s="7" t="s">
        <v>6</v>
      </c>
      <c r="C108" s="7" t="s">
        <v>59</v>
      </c>
      <c r="D108" s="7" t="s">
        <v>4</v>
      </c>
      <c r="E108" s="7" t="s">
        <v>22</v>
      </c>
      <c r="F108" s="7">
        <v>420</v>
      </c>
      <c r="G108" s="15">
        <v>1.69</v>
      </c>
      <c r="H108" s="15">
        <v>2.4900000000000002</v>
      </c>
      <c r="I108" s="15" t="str">
        <f>IF(Vanzari!$D108="Băuturi alcoolice şi ţigări","ACCIZA","TVA")</f>
        <v>TVA</v>
      </c>
      <c r="J108" s="15">
        <f>IF(Vanzari!$D108="Băuturi alcoolice şi ţigări",Vanzari!$H108*0.05,Vanzari!$H108*0.09)</f>
        <v>0.22410000000000002</v>
      </c>
      <c r="K108" s="15">
        <f>SUM(Vanzari!$H108,Vanzari!$J108)</f>
        <v>2.7141000000000002</v>
      </c>
      <c r="L108" s="15">
        <f>Vanzari!$F108*Vanzari!$G108</f>
        <v>709.8</v>
      </c>
      <c r="M108" s="15">
        <f>Vanzari!$F108*Vanzari!$K108</f>
        <v>1139.922</v>
      </c>
      <c r="N108" s="15" t="str">
        <f>IF(Vanzari!$M108&gt;Vanzari!$L108,"PROFIT","PIERDERE")</f>
        <v>PROFIT</v>
      </c>
      <c r="O108" s="15">
        <f>Vanzari!$M108-Vanzari!$L108</f>
        <v>430.12200000000007</v>
      </c>
      <c r="P108" s="15" cm="1">
        <f t="array" ref="P108">ProfitImpozitat(Vanzari!$O108)</f>
        <v>425.82078000000007</v>
      </c>
    </row>
    <row r="109" spans="1:16" x14ac:dyDescent="0.2">
      <c r="A109" s="14">
        <v>44919</v>
      </c>
      <c r="B109" s="7" t="s">
        <v>6</v>
      </c>
      <c r="C109" s="7" t="s">
        <v>59</v>
      </c>
      <c r="D109" s="7" t="s">
        <v>4</v>
      </c>
      <c r="E109" s="7" t="s">
        <v>3</v>
      </c>
      <c r="F109" s="7">
        <v>340</v>
      </c>
      <c r="G109" s="15">
        <v>2.2000000000000002</v>
      </c>
      <c r="H109" s="15">
        <v>3.2</v>
      </c>
      <c r="I109" s="15" t="str">
        <f>IF(Vanzari!$D109="Băuturi alcoolice şi ţigări","ACCIZA","TVA")</f>
        <v>TVA</v>
      </c>
      <c r="J109" s="15">
        <f>IF(Vanzari!$D109="Băuturi alcoolice şi ţigări",Vanzari!$H109*0.05,Vanzari!$H109*0.09)</f>
        <v>0.28799999999999998</v>
      </c>
      <c r="K109" s="15">
        <f>SUM(Vanzari!$H109,Vanzari!$J109)</f>
        <v>3.488</v>
      </c>
      <c r="L109" s="15">
        <f>Vanzari!$F109*Vanzari!$G109</f>
        <v>748.00000000000011</v>
      </c>
      <c r="M109" s="15">
        <f>Vanzari!$F109*Vanzari!$K109</f>
        <v>1185.92</v>
      </c>
      <c r="N109" s="15" t="str">
        <f>IF(Vanzari!$M109&gt;Vanzari!$L109,"PROFIT","PIERDERE")</f>
        <v>PROFIT</v>
      </c>
      <c r="O109" s="15">
        <f>Vanzari!$M109-Vanzari!$L109</f>
        <v>437.91999999999996</v>
      </c>
      <c r="P109" s="15" cm="1">
        <f t="array" ref="P109">ProfitImpozitat(Vanzari!$O109)</f>
        <v>433.54079999999993</v>
      </c>
    </row>
    <row r="110" spans="1:16" x14ac:dyDescent="0.2">
      <c r="A110" s="14">
        <v>44389</v>
      </c>
      <c r="B110" s="7" t="s">
        <v>6</v>
      </c>
      <c r="C110" s="7" t="s">
        <v>59</v>
      </c>
      <c r="D110" s="7" t="s">
        <v>4</v>
      </c>
      <c r="E110" s="7" t="s">
        <v>19</v>
      </c>
      <c r="F110" s="7">
        <v>280</v>
      </c>
      <c r="G110" s="15">
        <v>2.41</v>
      </c>
      <c r="H110" s="15">
        <v>3.7</v>
      </c>
      <c r="I110" s="15" t="str">
        <f>IF(Vanzari!$D110="Băuturi alcoolice şi ţigări","ACCIZA","TVA")</f>
        <v>TVA</v>
      </c>
      <c r="J110" s="15">
        <f>IF(Vanzari!$D110="Băuturi alcoolice şi ţigări",Vanzari!$H110*0.05,Vanzari!$H110*0.09)</f>
        <v>0.33300000000000002</v>
      </c>
      <c r="K110" s="15">
        <f>SUM(Vanzari!$H110,Vanzari!$J110)</f>
        <v>4.0330000000000004</v>
      </c>
      <c r="L110" s="15">
        <f>Vanzari!$F110*Vanzari!$G110</f>
        <v>674.80000000000007</v>
      </c>
      <c r="M110" s="15">
        <f>Vanzari!$F110*Vanzari!$K110</f>
        <v>1129.24</v>
      </c>
      <c r="N110" s="15" t="str">
        <f>IF(Vanzari!$M110&gt;Vanzari!$L110,"PROFIT","PIERDERE")</f>
        <v>PROFIT</v>
      </c>
      <c r="O110" s="15">
        <f>Vanzari!$M110-Vanzari!$L110</f>
        <v>454.43999999999994</v>
      </c>
      <c r="P110" s="15" cm="1">
        <f t="array" ref="P110">ProfitImpozitat(Vanzari!$O110)</f>
        <v>449.89559999999994</v>
      </c>
    </row>
    <row r="111" spans="1:16" x14ac:dyDescent="0.2">
      <c r="A111" s="14">
        <v>44365</v>
      </c>
      <c r="B111" s="7" t="s">
        <v>6</v>
      </c>
      <c r="C111" s="7" t="s">
        <v>59</v>
      </c>
      <c r="D111" s="7" t="s">
        <v>4</v>
      </c>
      <c r="E111" s="7" t="s">
        <v>24</v>
      </c>
      <c r="F111" s="7">
        <v>250</v>
      </c>
      <c r="G111" s="15">
        <v>1.93</v>
      </c>
      <c r="H111" s="15">
        <v>3.4899999999999998</v>
      </c>
      <c r="I111" s="15" t="str">
        <f>IF(Vanzari!$D111="Băuturi alcoolice şi ţigări","ACCIZA","TVA")</f>
        <v>TVA</v>
      </c>
      <c r="J111" s="15">
        <f>IF(Vanzari!$D111="Băuturi alcoolice şi ţigări",Vanzari!$H111*0.05,Vanzari!$H111*0.09)</f>
        <v>0.31409999999999999</v>
      </c>
      <c r="K111" s="15">
        <f>SUM(Vanzari!$H111,Vanzari!$J111)</f>
        <v>3.8040999999999996</v>
      </c>
      <c r="L111" s="15">
        <f>Vanzari!$F111*Vanzari!$G111</f>
        <v>482.5</v>
      </c>
      <c r="M111" s="15">
        <f>Vanzari!$F111*Vanzari!$K111</f>
        <v>951.02499999999986</v>
      </c>
      <c r="N111" s="15" t="str">
        <f>IF(Vanzari!$M111&gt;Vanzari!$L111,"PROFIT","PIERDERE")</f>
        <v>PROFIT</v>
      </c>
      <c r="O111" s="15">
        <f>Vanzari!$M111-Vanzari!$L111</f>
        <v>468.52499999999986</v>
      </c>
      <c r="P111" s="15" cm="1">
        <f t="array" ref="P111">ProfitImpozitat(Vanzari!$O111)</f>
        <v>463.83974999999987</v>
      </c>
    </row>
    <row r="112" spans="1:16" x14ac:dyDescent="0.2">
      <c r="A112" s="14">
        <v>44383</v>
      </c>
      <c r="B112" s="7" t="s">
        <v>60</v>
      </c>
      <c r="C112" s="7" t="s">
        <v>60</v>
      </c>
      <c r="D112" s="7" t="s">
        <v>4</v>
      </c>
      <c r="E112" s="7" t="s">
        <v>19</v>
      </c>
      <c r="F112" s="7">
        <v>300</v>
      </c>
      <c r="G112" s="15">
        <v>2.41</v>
      </c>
      <c r="H112" s="15">
        <v>3.7</v>
      </c>
      <c r="I112" s="15" t="str">
        <f>IF(Vanzari!$D112="Băuturi alcoolice şi ţigări","ACCIZA","TVA")</f>
        <v>TVA</v>
      </c>
      <c r="J112" s="15">
        <f>IF(Vanzari!$D112="Băuturi alcoolice şi ţigări",Vanzari!$H112*0.05,Vanzari!$H112*0.09)</f>
        <v>0.33300000000000002</v>
      </c>
      <c r="K112" s="15">
        <f>SUM(Vanzari!$H112,Vanzari!$J112)</f>
        <v>4.0330000000000004</v>
      </c>
      <c r="L112" s="15">
        <f>Vanzari!$F112*Vanzari!$G112</f>
        <v>723</v>
      </c>
      <c r="M112" s="15">
        <f>Vanzari!$F112*Vanzari!$K112</f>
        <v>1209.9000000000001</v>
      </c>
      <c r="N112" s="15" t="str">
        <f>IF(Vanzari!$M112&gt;Vanzari!$L112,"PROFIT","PIERDERE")</f>
        <v>PROFIT</v>
      </c>
      <c r="O112" s="15">
        <f>Vanzari!$M112-Vanzari!$L112</f>
        <v>486.90000000000009</v>
      </c>
      <c r="P112" s="15" cm="1">
        <f t="array" ref="P112">ProfitImpozitat(Vanzari!$O112)</f>
        <v>482.03100000000006</v>
      </c>
    </row>
    <row r="113" spans="1:16" x14ac:dyDescent="0.2">
      <c r="A113" s="14">
        <v>44500</v>
      </c>
      <c r="B113" s="7" t="s">
        <v>6</v>
      </c>
      <c r="C113" s="7" t="s">
        <v>59</v>
      </c>
      <c r="D113" s="7" t="s">
        <v>4</v>
      </c>
      <c r="E113" s="7" t="s">
        <v>19</v>
      </c>
      <c r="F113" s="7">
        <v>300</v>
      </c>
      <c r="G113" s="15">
        <v>2.41</v>
      </c>
      <c r="H113" s="15">
        <v>3.7</v>
      </c>
      <c r="I113" s="15" t="str">
        <f>IF(Vanzari!$D113="Băuturi alcoolice şi ţigări","ACCIZA","TVA")</f>
        <v>TVA</v>
      </c>
      <c r="J113" s="15">
        <f>IF(Vanzari!$D113="Băuturi alcoolice şi ţigări",Vanzari!$H113*0.05,Vanzari!$H113*0.09)</f>
        <v>0.33300000000000002</v>
      </c>
      <c r="K113" s="15">
        <f>SUM(Vanzari!$H113,Vanzari!$J113)</f>
        <v>4.0330000000000004</v>
      </c>
      <c r="L113" s="15">
        <f>Vanzari!$F113*Vanzari!$G113</f>
        <v>723</v>
      </c>
      <c r="M113" s="15">
        <f>Vanzari!$F113*Vanzari!$K113</f>
        <v>1209.9000000000001</v>
      </c>
      <c r="N113" s="15" t="str">
        <f>IF(Vanzari!$M113&gt;Vanzari!$L113,"PROFIT","PIERDERE")</f>
        <v>PROFIT</v>
      </c>
      <c r="O113" s="15">
        <f>Vanzari!$M113-Vanzari!$L113</f>
        <v>486.90000000000009</v>
      </c>
      <c r="P113" s="15" cm="1">
        <f t="array" ref="P113">ProfitImpozitat(Vanzari!$O113)</f>
        <v>482.03100000000006</v>
      </c>
    </row>
    <row r="114" spans="1:16" x14ac:dyDescent="0.2">
      <c r="A114" s="14">
        <v>44581</v>
      </c>
      <c r="B114" s="7" t="s">
        <v>5</v>
      </c>
      <c r="C114" s="7" t="s">
        <v>5</v>
      </c>
      <c r="D114" s="7" t="s">
        <v>4</v>
      </c>
      <c r="E114" s="7" t="s">
        <v>11</v>
      </c>
      <c r="F114" s="7">
        <v>180</v>
      </c>
      <c r="G114" s="15">
        <v>2.9</v>
      </c>
      <c r="H114" s="15">
        <v>5.5</v>
      </c>
      <c r="I114" s="15" t="str">
        <f>IF(Vanzari!$D114="Băuturi alcoolice şi ţigări","ACCIZA","TVA")</f>
        <v>TVA</v>
      </c>
      <c r="J114" s="15">
        <f>IF(Vanzari!$D114="Băuturi alcoolice şi ţigări",Vanzari!$H114*0.05,Vanzari!$H114*0.09)</f>
        <v>0.495</v>
      </c>
      <c r="K114" s="15">
        <f>SUM(Vanzari!$H114,Vanzari!$J114)</f>
        <v>5.9950000000000001</v>
      </c>
      <c r="L114" s="15">
        <f>Vanzari!$F114*Vanzari!$G114</f>
        <v>522</v>
      </c>
      <c r="M114" s="15">
        <f>Vanzari!$F114*Vanzari!$K114</f>
        <v>1079.0999999999999</v>
      </c>
      <c r="N114" s="15" t="str">
        <f>IF(Vanzari!$M114&gt;Vanzari!$L114,"PROFIT","PIERDERE")</f>
        <v>PROFIT</v>
      </c>
      <c r="O114" s="15">
        <f>Vanzari!$M114-Vanzari!$L114</f>
        <v>557.09999999999991</v>
      </c>
      <c r="P114" s="15" cm="1">
        <f t="array" ref="P114">ProfitImpozitat(Vanzari!$O114)</f>
        <v>529.24499999999989</v>
      </c>
    </row>
    <row r="115" spans="1:16" x14ac:dyDescent="0.2">
      <c r="A115" s="14">
        <v>44359</v>
      </c>
      <c r="B115" s="7" t="s">
        <v>60</v>
      </c>
      <c r="C115" s="7" t="s">
        <v>60</v>
      </c>
      <c r="D115" s="7" t="s">
        <v>4</v>
      </c>
      <c r="E115" s="7" t="s">
        <v>24</v>
      </c>
      <c r="F115" s="7">
        <v>315</v>
      </c>
      <c r="G115" s="15">
        <v>1.93</v>
      </c>
      <c r="H115" s="15">
        <v>3.4899999999999998</v>
      </c>
      <c r="I115" s="15" t="str">
        <f>IF(Vanzari!$D115="Băuturi alcoolice şi ţigări","ACCIZA","TVA")</f>
        <v>TVA</v>
      </c>
      <c r="J115" s="15">
        <f>IF(Vanzari!$D115="Băuturi alcoolice şi ţigări",Vanzari!$H115*0.05,Vanzari!$H115*0.09)</f>
        <v>0.31409999999999999</v>
      </c>
      <c r="K115" s="15">
        <f>SUM(Vanzari!$H115,Vanzari!$J115)</f>
        <v>3.8040999999999996</v>
      </c>
      <c r="L115" s="15">
        <f>Vanzari!$F115*Vanzari!$G115</f>
        <v>607.94999999999993</v>
      </c>
      <c r="M115" s="15">
        <f>Vanzari!$F115*Vanzari!$K115</f>
        <v>1198.2914999999998</v>
      </c>
      <c r="N115" s="15" t="str">
        <f>IF(Vanzari!$M115&gt;Vanzari!$L115,"PROFIT","PIERDERE")</f>
        <v>PROFIT</v>
      </c>
      <c r="O115" s="15">
        <f>Vanzari!$M115-Vanzari!$L115</f>
        <v>590.34149999999988</v>
      </c>
      <c r="P115" s="15" cm="1">
        <f t="array" ref="P115">ProfitImpozitat(Vanzari!$O115)</f>
        <v>560.82442499999991</v>
      </c>
    </row>
    <row r="116" spans="1:16" x14ac:dyDescent="0.2">
      <c r="A116" s="14">
        <v>44200</v>
      </c>
      <c r="B116" s="7" t="s">
        <v>6</v>
      </c>
      <c r="C116" s="7" t="s">
        <v>59</v>
      </c>
      <c r="D116" s="7" t="s">
        <v>4</v>
      </c>
      <c r="E116" s="7" t="s">
        <v>56</v>
      </c>
      <c r="F116" s="7">
        <v>270</v>
      </c>
      <c r="G116" s="15">
        <v>6.23</v>
      </c>
      <c r="H116" s="15">
        <v>8</v>
      </c>
      <c r="I116" s="15" t="str">
        <f>IF(Vanzari!$D116="Băuturi alcoolice şi ţigări","ACCIZA","TVA")</f>
        <v>TVA</v>
      </c>
      <c r="J116" s="15">
        <f>IF(Vanzari!$D116="Băuturi alcoolice şi ţigări",Vanzari!$H116*0.05,Vanzari!$H116*0.09)</f>
        <v>0.72</v>
      </c>
      <c r="K116" s="15">
        <f>SUM(Vanzari!$H116,Vanzari!$J116)</f>
        <v>8.7200000000000006</v>
      </c>
      <c r="L116" s="15">
        <f>Vanzari!$F116*Vanzari!$G116</f>
        <v>1682.1000000000001</v>
      </c>
      <c r="M116" s="15">
        <f>Vanzari!$F116*Vanzari!$K116</f>
        <v>2354.4</v>
      </c>
      <c r="N116" s="15" t="str">
        <f>IF(Vanzari!$M116&gt;Vanzari!$L116,"PROFIT","PIERDERE")</f>
        <v>PROFIT</v>
      </c>
      <c r="O116" s="15">
        <f>Vanzari!$M116-Vanzari!$L116</f>
        <v>672.3</v>
      </c>
      <c r="P116" s="15" cm="1">
        <f t="array" ref="P116">ProfitImpozitat(Vanzari!$O116)</f>
        <v>638.68499999999995</v>
      </c>
    </row>
    <row r="117" spans="1:16" x14ac:dyDescent="0.2">
      <c r="A117" s="14">
        <v>44266</v>
      </c>
      <c r="B117" s="7" t="s">
        <v>6</v>
      </c>
      <c r="C117" s="7" t="s">
        <v>59</v>
      </c>
      <c r="D117" s="7" t="s">
        <v>4</v>
      </c>
      <c r="E117" s="7" t="s">
        <v>56</v>
      </c>
      <c r="F117" s="7">
        <v>310</v>
      </c>
      <c r="G117" s="15">
        <v>6.23</v>
      </c>
      <c r="H117" s="15">
        <v>8</v>
      </c>
      <c r="I117" s="15" t="str">
        <f>IF(Vanzari!$D117="Băuturi alcoolice şi ţigări","ACCIZA","TVA")</f>
        <v>TVA</v>
      </c>
      <c r="J117" s="15">
        <f>IF(Vanzari!$D117="Băuturi alcoolice şi ţigări",Vanzari!$H117*0.05,Vanzari!$H117*0.09)</f>
        <v>0.72</v>
      </c>
      <c r="K117" s="15">
        <f>SUM(Vanzari!$H117,Vanzari!$J117)</f>
        <v>8.7200000000000006</v>
      </c>
      <c r="L117" s="15">
        <f>Vanzari!$F117*Vanzari!$G117</f>
        <v>1931.3000000000002</v>
      </c>
      <c r="M117" s="15">
        <f>Vanzari!$F117*Vanzari!$K117</f>
        <v>2703.2000000000003</v>
      </c>
      <c r="N117" s="15" t="str">
        <f>IF(Vanzari!$M117&gt;Vanzari!$L117,"PROFIT","PIERDERE")</f>
        <v>PROFIT</v>
      </c>
      <c r="O117" s="15">
        <f>Vanzari!$M117-Vanzari!$L117</f>
        <v>771.90000000000009</v>
      </c>
      <c r="P117" s="15" cm="1">
        <f t="array" ref="P117">ProfitImpozitat(Vanzari!$O117)</f>
        <v>733.30500000000006</v>
      </c>
    </row>
    <row r="118" spans="1:16" x14ac:dyDescent="0.2">
      <c r="A118" s="14">
        <v>44766</v>
      </c>
      <c r="B118" s="7" t="s">
        <v>6</v>
      </c>
      <c r="C118" s="7" t="s">
        <v>59</v>
      </c>
      <c r="D118" s="7" t="s">
        <v>4</v>
      </c>
      <c r="E118" s="7" t="s">
        <v>11</v>
      </c>
      <c r="F118" s="7">
        <v>250</v>
      </c>
      <c r="G118" s="15">
        <v>2.9</v>
      </c>
      <c r="H118" s="15">
        <v>5.5</v>
      </c>
      <c r="I118" s="15" t="str">
        <f>IF(Vanzari!$D118="Băuturi alcoolice şi ţigări","ACCIZA","TVA")</f>
        <v>TVA</v>
      </c>
      <c r="J118" s="15">
        <f>IF(Vanzari!$D118="Băuturi alcoolice şi ţigări",Vanzari!$H118*0.05,Vanzari!$H118*0.09)</f>
        <v>0.495</v>
      </c>
      <c r="K118" s="15">
        <f>SUM(Vanzari!$H118,Vanzari!$J118)</f>
        <v>5.9950000000000001</v>
      </c>
      <c r="L118" s="15">
        <f>Vanzari!$F118*Vanzari!$G118</f>
        <v>725</v>
      </c>
      <c r="M118" s="15">
        <f>Vanzari!$F118*Vanzari!$K118</f>
        <v>1498.75</v>
      </c>
      <c r="N118" s="15" t="str">
        <f>IF(Vanzari!$M118&gt;Vanzari!$L118,"PROFIT","PIERDERE")</f>
        <v>PROFIT</v>
      </c>
      <c r="O118" s="15">
        <f>Vanzari!$M118-Vanzari!$L118</f>
        <v>773.75</v>
      </c>
      <c r="P118" s="15" cm="1">
        <f t="array" ref="P118">ProfitImpozitat(Vanzari!$O118)</f>
        <v>735.0625</v>
      </c>
    </row>
    <row r="119" spans="1:16" x14ac:dyDescent="0.2">
      <c r="A119" s="14">
        <v>44215</v>
      </c>
      <c r="B119" s="7" t="s">
        <v>6</v>
      </c>
      <c r="C119" s="7" t="s">
        <v>59</v>
      </c>
      <c r="D119" s="7" t="s">
        <v>4</v>
      </c>
      <c r="E119" s="7" t="s">
        <v>56</v>
      </c>
      <c r="F119" s="7">
        <v>390</v>
      </c>
      <c r="G119" s="15">
        <v>6.23</v>
      </c>
      <c r="H119" s="15">
        <v>8</v>
      </c>
      <c r="I119" s="15" t="str">
        <f>IF(Vanzari!$D119="Băuturi alcoolice şi ţigări","ACCIZA","TVA")</f>
        <v>TVA</v>
      </c>
      <c r="J119" s="15">
        <f>IF(Vanzari!$D119="Băuturi alcoolice şi ţigări",Vanzari!$H119*0.05,Vanzari!$H119*0.09)</f>
        <v>0.72</v>
      </c>
      <c r="K119" s="15">
        <f>SUM(Vanzari!$H119,Vanzari!$J119)</f>
        <v>8.7200000000000006</v>
      </c>
      <c r="L119" s="15">
        <f>Vanzari!$F119*Vanzari!$G119</f>
        <v>2429.7000000000003</v>
      </c>
      <c r="M119" s="15">
        <f>Vanzari!$F119*Vanzari!$K119</f>
        <v>3400.8</v>
      </c>
      <c r="N119" s="15" t="str">
        <f>IF(Vanzari!$M119&gt;Vanzari!$L119,"PROFIT","PIERDERE")</f>
        <v>PROFIT</v>
      </c>
      <c r="O119" s="15">
        <f>Vanzari!$M119-Vanzari!$L119</f>
        <v>971.09999999999991</v>
      </c>
      <c r="P119" s="15" cm="1">
        <f t="array" ref="P119">ProfitImpozitat(Vanzari!$O119)</f>
        <v>922.54499999999996</v>
      </c>
    </row>
    <row r="120" spans="1:16" x14ac:dyDescent="0.2">
      <c r="A120" s="14">
        <v>44296</v>
      </c>
      <c r="B120" s="7" t="s">
        <v>5</v>
      </c>
      <c r="C120" s="7" t="s">
        <v>5</v>
      </c>
      <c r="D120" s="7" t="s">
        <v>4</v>
      </c>
      <c r="E120" s="7" t="s">
        <v>56</v>
      </c>
      <c r="F120" s="7">
        <v>410</v>
      </c>
      <c r="G120" s="15">
        <v>6.23</v>
      </c>
      <c r="H120" s="15">
        <v>8</v>
      </c>
      <c r="I120" s="15" t="str">
        <f>IF(Vanzari!$D120="Băuturi alcoolice şi ţigări","ACCIZA","TVA")</f>
        <v>TVA</v>
      </c>
      <c r="J120" s="15">
        <f>IF(Vanzari!$D120="Băuturi alcoolice şi ţigări",Vanzari!$H120*0.05,Vanzari!$H120*0.09)</f>
        <v>0.72</v>
      </c>
      <c r="K120" s="15">
        <f>SUM(Vanzari!$H120,Vanzari!$J120)</f>
        <v>8.7200000000000006</v>
      </c>
      <c r="L120" s="15">
        <f>Vanzari!$F120*Vanzari!$G120</f>
        <v>2554.3000000000002</v>
      </c>
      <c r="M120" s="15">
        <f>Vanzari!$F120*Vanzari!$K120</f>
        <v>3575.2000000000003</v>
      </c>
      <c r="N120" s="15" t="str">
        <f>IF(Vanzari!$M120&gt;Vanzari!$L120,"PROFIT","PIERDERE")</f>
        <v>PROFIT</v>
      </c>
      <c r="O120" s="15">
        <f>Vanzari!$M120-Vanzari!$L120</f>
        <v>1020.9000000000001</v>
      </c>
      <c r="P120" s="15" cm="1">
        <f t="array" ref="P120">ProfitImpozitat(Vanzari!$O120)</f>
        <v>969.85500000000013</v>
      </c>
    </row>
    <row r="121" spans="1:16" x14ac:dyDescent="0.2">
      <c r="A121" s="14">
        <v>44329</v>
      </c>
      <c r="B121" s="7" t="s">
        <v>1</v>
      </c>
      <c r="C121" s="7" t="s">
        <v>0</v>
      </c>
      <c r="D121" s="7" t="s">
        <v>4</v>
      </c>
      <c r="E121" s="7" t="s">
        <v>56</v>
      </c>
      <c r="F121" s="7">
        <v>560</v>
      </c>
      <c r="G121" s="15">
        <v>6.23</v>
      </c>
      <c r="H121" s="15">
        <v>8</v>
      </c>
      <c r="I121" s="15" t="str">
        <f>IF(Vanzari!$D121="Băuturi alcoolice şi ţigări","ACCIZA","TVA")</f>
        <v>TVA</v>
      </c>
      <c r="J121" s="15">
        <f>IF(Vanzari!$D121="Băuturi alcoolice şi ţigări",Vanzari!$H121*0.05,Vanzari!$H121*0.09)</f>
        <v>0.72</v>
      </c>
      <c r="K121" s="15">
        <f>SUM(Vanzari!$H121,Vanzari!$J121)</f>
        <v>8.7200000000000006</v>
      </c>
      <c r="L121" s="15">
        <f>Vanzari!$F121*Vanzari!$G121</f>
        <v>3488.8</v>
      </c>
      <c r="M121" s="15">
        <f>Vanzari!$F121*Vanzari!$K121</f>
        <v>4883.2000000000007</v>
      </c>
      <c r="N121" s="15" t="str">
        <f>IF(Vanzari!$M121&gt;Vanzari!$L121,"PROFIT","PIERDERE")</f>
        <v>PROFIT</v>
      </c>
      <c r="O121" s="15">
        <f>Vanzari!$M121-Vanzari!$L121</f>
        <v>1394.4000000000005</v>
      </c>
      <c r="P121" s="15" cm="1">
        <f t="array" ref="P121">ProfitImpozitat(Vanzari!$O121)</f>
        <v>1254.9600000000005</v>
      </c>
    </row>
    <row r="122" spans="1:16" x14ac:dyDescent="0.2">
      <c r="A122" s="14">
        <v>44233</v>
      </c>
      <c r="B122" s="7" t="s">
        <v>6</v>
      </c>
      <c r="C122" s="7" t="s">
        <v>59</v>
      </c>
      <c r="D122" s="7" t="s">
        <v>4</v>
      </c>
      <c r="E122" s="7" t="s">
        <v>56</v>
      </c>
      <c r="F122" s="7">
        <v>740</v>
      </c>
      <c r="G122" s="15">
        <v>6.23</v>
      </c>
      <c r="H122" s="15">
        <v>8</v>
      </c>
      <c r="I122" s="15" t="str">
        <f>IF(Vanzari!$D122="Băuturi alcoolice şi ţigări","ACCIZA","TVA")</f>
        <v>TVA</v>
      </c>
      <c r="J122" s="15">
        <f>IF(Vanzari!$D122="Băuturi alcoolice şi ţigări",Vanzari!$H122*0.05,Vanzari!$H122*0.09)</f>
        <v>0.72</v>
      </c>
      <c r="K122" s="15">
        <f>SUM(Vanzari!$H122,Vanzari!$J122)</f>
        <v>8.7200000000000006</v>
      </c>
      <c r="L122" s="15">
        <f>Vanzari!$F122*Vanzari!$G122</f>
        <v>4610.2000000000007</v>
      </c>
      <c r="M122" s="15">
        <f>Vanzari!$F122*Vanzari!$K122</f>
        <v>6452.8</v>
      </c>
      <c r="N122" s="15" t="str">
        <f>IF(Vanzari!$M122&gt;Vanzari!$L122,"PROFIT","PIERDERE")</f>
        <v>PROFIT</v>
      </c>
      <c r="O122" s="15">
        <f>Vanzari!$M122-Vanzari!$L122</f>
        <v>1842.5999999999995</v>
      </c>
      <c r="P122" s="15" cm="1">
        <f t="array" ref="P122">ProfitImpozitat(Vanzari!$O122)</f>
        <v>1658.3399999999995</v>
      </c>
    </row>
    <row r="123" spans="1:16" x14ac:dyDescent="0.2">
      <c r="A123" s="14">
        <v>44886</v>
      </c>
      <c r="B123" s="7" t="s">
        <v>60</v>
      </c>
      <c r="C123" s="7" t="s">
        <v>60</v>
      </c>
      <c r="D123" s="7" t="s">
        <v>52</v>
      </c>
      <c r="E123" s="7" t="s">
        <v>2</v>
      </c>
      <c r="F123" s="7">
        <v>20</v>
      </c>
      <c r="G123" s="15">
        <v>6</v>
      </c>
      <c r="H123" s="15">
        <v>5.7</v>
      </c>
      <c r="I123" s="15" t="str">
        <f>IF(Vanzari!$D123="Băuturi alcoolice şi ţigări","ACCIZA","TVA")</f>
        <v>TVA</v>
      </c>
      <c r="J123" s="15">
        <f>IF(Vanzari!$D123="Băuturi alcoolice şi ţigări",Vanzari!$H123*0.05,Vanzari!$H123*0.09)</f>
        <v>0.51300000000000001</v>
      </c>
      <c r="K123" s="15">
        <f>SUM(Vanzari!$H123,Vanzari!$J123)</f>
        <v>6.2130000000000001</v>
      </c>
      <c r="L123" s="15">
        <f>Vanzari!$F123*Vanzari!$G123</f>
        <v>120</v>
      </c>
      <c r="M123" s="15">
        <f>Vanzari!$F123*Vanzari!$K123</f>
        <v>124.26</v>
      </c>
      <c r="N123" s="15" t="str">
        <f>IF(Vanzari!$M123&gt;Vanzari!$L123,"PROFIT","PIERDERE")</f>
        <v>PROFIT</v>
      </c>
      <c r="O123" s="15">
        <f>Vanzari!$M123-Vanzari!$L123</f>
        <v>4.2600000000000051</v>
      </c>
      <c r="P123" s="15" cm="1">
        <f t="array" ref="P123">ProfitImpozitat(Vanzari!$O123)</f>
        <v>4.2600000000000051</v>
      </c>
    </row>
    <row r="124" spans="1:16" x14ac:dyDescent="0.2">
      <c r="A124" s="14">
        <v>44862</v>
      </c>
      <c r="B124" s="7" t="s">
        <v>5</v>
      </c>
      <c r="C124" s="7" t="s">
        <v>5</v>
      </c>
      <c r="D124" s="7" t="s">
        <v>52</v>
      </c>
      <c r="E124" s="7" t="s">
        <v>2</v>
      </c>
      <c r="F124" s="7">
        <v>57</v>
      </c>
      <c r="G124" s="15">
        <v>6</v>
      </c>
      <c r="H124" s="15">
        <v>5.7</v>
      </c>
      <c r="I124" s="15" t="str">
        <f>IF(Vanzari!$D124="Băuturi alcoolice şi ţigări","ACCIZA","TVA")</f>
        <v>TVA</v>
      </c>
      <c r="J124" s="15">
        <f>IF(Vanzari!$D124="Băuturi alcoolice şi ţigări",Vanzari!$H124*0.05,Vanzari!$H124*0.09)</f>
        <v>0.51300000000000001</v>
      </c>
      <c r="K124" s="15">
        <f>SUM(Vanzari!$H124,Vanzari!$J124)</f>
        <v>6.2130000000000001</v>
      </c>
      <c r="L124" s="15">
        <f>Vanzari!$F124*Vanzari!$G124</f>
        <v>342</v>
      </c>
      <c r="M124" s="15">
        <f>Vanzari!$F124*Vanzari!$K124</f>
        <v>354.14100000000002</v>
      </c>
      <c r="N124" s="15" t="str">
        <f>IF(Vanzari!$M124&gt;Vanzari!$L124,"PROFIT","PIERDERE")</f>
        <v>PROFIT</v>
      </c>
      <c r="O124" s="15">
        <f>Vanzari!$M124-Vanzari!$L124</f>
        <v>12.14100000000002</v>
      </c>
      <c r="P124" s="15" cm="1">
        <f t="array" ref="P124">ProfitImpozitat(Vanzari!$O124)</f>
        <v>12.14100000000002</v>
      </c>
    </row>
    <row r="125" spans="1:16" x14ac:dyDescent="0.2">
      <c r="A125" s="14">
        <v>44548</v>
      </c>
      <c r="B125" s="7" t="s">
        <v>1</v>
      </c>
      <c r="C125" s="7" t="s">
        <v>0</v>
      </c>
      <c r="D125" s="7" t="s">
        <v>52</v>
      </c>
      <c r="E125" s="7" t="s">
        <v>18</v>
      </c>
      <c r="F125" s="7">
        <v>44</v>
      </c>
      <c r="G125" s="15">
        <v>0.42</v>
      </c>
      <c r="H125" s="15">
        <v>0.67</v>
      </c>
      <c r="I125" s="15" t="str">
        <f>IF(Vanzari!$D125="Băuturi alcoolice şi ţigări","ACCIZA","TVA")</f>
        <v>TVA</v>
      </c>
      <c r="J125" s="15">
        <f>IF(Vanzari!$D125="Băuturi alcoolice şi ţigări",Vanzari!$H125*0.05,Vanzari!$H125*0.09)</f>
        <v>6.0299999999999999E-2</v>
      </c>
      <c r="K125" s="15">
        <f>SUM(Vanzari!$H125,Vanzari!$J125)</f>
        <v>0.73030000000000006</v>
      </c>
      <c r="L125" s="15">
        <f>Vanzari!$F125*Vanzari!$G125</f>
        <v>18.48</v>
      </c>
      <c r="M125" s="15">
        <f>Vanzari!$F125*Vanzari!$K125</f>
        <v>32.133200000000002</v>
      </c>
      <c r="N125" s="15" t="str">
        <f>IF(Vanzari!$M125&gt;Vanzari!$L125,"PROFIT","PIERDERE")</f>
        <v>PROFIT</v>
      </c>
      <c r="O125" s="15">
        <f>Vanzari!$M125-Vanzari!$L125</f>
        <v>13.653200000000002</v>
      </c>
      <c r="P125" s="15" cm="1">
        <f t="array" ref="P125">ProfitImpozitat(Vanzari!$O125)</f>
        <v>13.653200000000002</v>
      </c>
    </row>
    <row r="126" spans="1:16" x14ac:dyDescent="0.2">
      <c r="A126" s="14">
        <v>44584</v>
      </c>
      <c r="B126" s="7" t="s">
        <v>60</v>
      </c>
      <c r="C126" s="7" t="s">
        <v>60</v>
      </c>
      <c r="D126" s="7" t="s">
        <v>52</v>
      </c>
      <c r="E126" s="7" t="s">
        <v>18</v>
      </c>
      <c r="F126" s="7">
        <v>56</v>
      </c>
      <c r="G126" s="15">
        <v>0.42</v>
      </c>
      <c r="H126" s="15">
        <v>0.67</v>
      </c>
      <c r="I126" s="15" t="str">
        <f>IF(Vanzari!$D126="Băuturi alcoolice şi ţigări","ACCIZA","TVA")</f>
        <v>TVA</v>
      </c>
      <c r="J126" s="15">
        <f>IF(Vanzari!$D126="Băuturi alcoolice şi ţigări",Vanzari!$H126*0.05,Vanzari!$H126*0.09)</f>
        <v>6.0299999999999999E-2</v>
      </c>
      <c r="K126" s="15">
        <f>SUM(Vanzari!$H126,Vanzari!$J126)</f>
        <v>0.73030000000000006</v>
      </c>
      <c r="L126" s="15">
        <f>Vanzari!$F126*Vanzari!$G126</f>
        <v>23.52</v>
      </c>
      <c r="M126" s="15">
        <f>Vanzari!$F126*Vanzari!$K126</f>
        <v>40.896800000000006</v>
      </c>
      <c r="N126" s="15" t="str">
        <f>IF(Vanzari!$M126&gt;Vanzari!$L126,"PROFIT","PIERDERE")</f>
        <v>PROFIT</v>
      </c>
      <c r="O126" s="15">
        <f>Vanzari!$M126-Vanzari!$L126</f>
        <v>17.376800000000006</v>
      </c>
      <c r="P126" s="15" cm="1">
        <f t="array" ref="P126">ProfitImpozitat(Vanzari!$O126)</f>
        <v>17.376800000000006</v>
      </c>
    </row>
    <row r="127" spans="1:16" x14ac:dyDescent="0.2">
      <c r="A127" s="14">
        <v>44566</v>
      </c>
      <c r="B127" s="7" t="s">
        <v>6</v>
      </c>
      <c r="C127" s="7" t="s">
        <v>59</v>
      </c>
      <c r="D127" s="7" t="s">
        <v>52</v>
      </c>
      <c r="E127" s="7" t="s">
        <v>18</v>
      </c>
      <c r="F127" s="7">
        <v>63</v>
      </c>
      <c r="G127" s="15">
        <v>0.42</v>
      </c>
      <c r="H127" s="15">
        <v>0.67</v>
      </c>
      <c r="I127" s="15" t="str">
        <f>IF(Vanzari!$D127="Băuturi alcoolice şi ţigări","ACCIZA","TVA")</f>
        <v>TVA</v>
      </c>
      <c r="J127" s="15">
        <f>IF(Vanzari!$D127="Băuturi alcoolice şi ţigări",Vanzari!$H127*0.05,Vanzari!$H127*0.09)</f>
        <v>6.0299999999999999E-2</v>
      </c>
      <c r="K127" s="15">
        <f>SUM(Vanzari!$H127,Vanzari!$J127)</f>
        <v>0.73030000000000006</v>
      </c>
      <c r="L127" s="15">
        <f>Vanzari!$F127*Vanzari!$G127</f>
        <v>26.459999999999997</v>
      </c>
      <c r="M127" s="15">
        <f>Vanzari!$F127*Vanzari!$K127</f>
        <v>46.008900000000004</v>
      </c>
      <c r="N127" s="15" t="str">
        <f>IF(Vanzari!$M127&gt;Vanzari!$L127,"PROFIT","PIERDERE")</f>
        <v>PROFIT</v>
      </c>
      <c r="O127" s="15">
        <f>Vanzari!$M127-Vanzari!$L127</f>
        <v>19.548900000000007</v>
      </c>
      <c r="P127" s="15" cm="1">
        <f t="array" ref="P127">ProfitImpozitat(Vanzari!$O127)</f>
        <v>19.548900000000007</v>
      </c>
    </row>
    <row r="128" spans="1:16" x14ac:dyDescent="0.2">
      <c r="A128" s="14">
        <v>44611</v>
      </c>
      <c r="B128" s="7" t="s">
        <v>6</v>
      </c>
      <c r="C128" s="7" t="s">
        <v>59</v>
      </c>
      <c r="D128" s="7" t="s">
        <v>52</v>
      </c>
      <c r="E128" s="7" t="s">
        <v>18</v>
      </c>
      <c r="F128" s="7">
        <v>68</v>
      </c>
      <c r="G128" s="15">
        <v>0.42</v>
      </c>
      <c r="H128" s="15">
        <v>0.67</v>
      </c>
      <c r="I128" s="15" t="str">
        <f>IF(Vanzari!$D128="Băuturi alcoolice şi ţigări","ACCIZA","TVA")</f>
        <v>TVA</v>
      </c>
      <c r="J128" s="15">
        <f>IF(Vanzari!$D128="Băuturi alcoolice şi ţigări",Vanzari!$H128*0.05,Vanzari!$H128*0.09)</f>
        <v>6.0299999999999999E-2</v>
      </c>
      <c r="K128" s="15">
        <f>SUM(Vanzari!$H128,Vanzari!$J128)</f>
        <v>0.73030000000000006</v>
      </c>
      <c r="L128" s="15">
        <f>Vanzari!$F128*Vanzari!$G128</f>
        <v>28.56</v>
      </c>
      <c r="M128" s="15">
        <f>Vanzari!$F128*Vanzari!$K128</f>
        <v>49.660400000000003</v>
      </c>
      <c r="N128" s="15" t="str">
        <f>IF(Vanzari!$M128&gt;Vanzari!$L128,"PROFIT","PIERDERE")</f>
        <v>PROFIT</v>
      </c>
      <c r="O128" s="15">
        <f>Vanzari!$M128-Vanzari!$L128</f>
        <v>21.100400000000004</v>
      </c>
      <c r="P128" s="15" cm="1">
        <f t="array" ref="P128">ProfitImpozitat(Vanzari!$O128)</f>
        <v>21.100400000000004</v>
      </c>
    </row>
    <row r="129" spans="1:16" x14ac:dyDescent="0.2">
      <c r="A129" s="14">
        <v>44622</v>
      </c>
      <c r="B129" s="7" t="s">
        <v>5</v>
      </c>
      <c r="C129" s="7" t="s">
        <v>5</v>
      </c>
      <c r="D129" s="7" t="s">
        <v>52</v>
      </c>
      <c r="E129" s="7" t="s">
        <v>18</v>
      </c>
      <c r="F129" s="7">
        <v>68</v>
      </c>
      <c r="G129" s="15">
        <v>0.42</v>
      </c>
      <c r="H129" s="15">
        <v>0.67</v>
      </c>
      <c r="I129" s="15" t="str">
        <f>IF(Vanzari!$D129="Băuturi alcoolice şi ţigări","ACCIZA","TVA")</f>
        <v>TVA</v>
      </c>
      <c r="J129" s="15">
        <f>IF(Vanzari!$D129="Băuturi alcoolice şi ţigări",Vanzari!$H129*0.05,Vanzari!$H129*0.09)</f>
        <v>6.0299999999999999E-2</v>
      </c>
      <c r="K129" s="15">
        <f>SUM(Vanzari!$H129,Vanzari!$J129)</f>
        <v>0.73030000000000006</v>
      </c>
      <c r="L129" s="15">
        <f>Vanzari!$F129*Vanzari!$G129</f>
        <v>28.56</v>
      </c>
      <c r="M129" s="15">
        <f>Vanzari!$F129*Vanzari!$K129</f>
        <v>49.660400000000003</v>
      </c>
      <c r="N129" s="15" t="str">
        <f>IF(Vanzari!$M129&gt;Vanzari!$L129,"PROFIT","PIERDERE")</f>
        <v>PROFIT</v>
      </c>
      <c r="O129" s="15">
        <f>Vanzari!$M129-Vanzari!$L129</f>
        <v>21.100400000000004</v>
      </c>
      <c r="P129" s="15" cm="1">
        <f t="array" ref="P129">ProfitImpozitat(Vanzari!$O129)</f>
        <v>21.100400000000004</v>
      </c>
    </row>
    <row r="130" spans="1:16" x14ac:dyDescent="0.2">
      <c r="A130" s="14">
        <v>44733</v>
      </c>
      <c r="B130" s="7" t="s">
        <v>60</v>
      </c>
      <c r="C130" s="7" t="s">
        <v>60</v>
      </c>
      <c r="D130" s="7" t="s">
        <v>52</v>
      </c>
      <c r="E130" s="7" t="s">
        <v>12</v>
      </c>
      <c r="F130" s="7">
        <v>41</v>
      </c>
      <c r="G130" s="15">
        <v>0.48</v>
      </c>
      <c r="H130" s="15">
        <v>0.91700000000000004</v>
      </c>
      <c r="I130" s="15" t="str">
        <f>IF(Vanzari!$D130="Băuturi alcoolice şi ţigări","ACCIZA","TVA")</f>
        <v>TVA</v>
      </c>
      <c r="J130" s="15">
        <f>IF(Vanzari!$D130="Băuturi alcoolice şi ţigări",Vanzari!$H130*0.05,Vanzari!$H130*0.09)</f>
        <v>8.2530000000000006E-2</v>
      </c>
      <c r="K130" s="15">
        <f>SUM(Vanzari!$H130,Vanzari!$J130)</f>
        <v>0.99953000000000003</v>
      </c>
      <c r="L130" s="15">
        <f>Vanzari!$F130*Vanzari!$G130</f>
        <v>19.68</v>
      </c>
      <c r="M130" s="15">
        <f>Vanzari!$F130*Vanzari!$K130</f>
        <v>40.980730000000001</v>
      </c>
      <c r="N130" s="15" t="str">
        <f>IF(Vanzari!$M130&gt;Vanzari!$L130,"PROFIT","PIERDERE")</f>
        <v>PROFIT</v>
      </c>
      <c r="O130" s="15">
        <f>Vanzari!$M130-Vanzari!$L130</f>
        <v>21.300730000000001</v>
      </c>
      <c r="P130" s="15" cm="1">
        <f t="array" ref="P130">ProfitImpozitat(Vanzari!$O130)</f>
        <v>21.300730000000001</v>
      </c>
    </row>
    <row r="131" spans="1:16" x14ac:dyDescent="0.2">
      <c r="A131" s="14">
        <v>44572</v>
      </c>
      <c r="B131" s="7" t="s">
        <v>1</v>
      </c>
      <c r="C131" s="7" t="s">
        <v>0</v>
      </c>
      <c r="D131" s="7" t="s">
        <v>52</v>
      </c>
      <c r="E131" s="7" t="s">
        <v>18</v>
      </c>
      <c r="F131" s="7">
        <v>77</v>
      </c>
      <c r="G131" s="15">
        <v>0.42</v>
      </c>
      <c r="H131" s="15">
        <v>0.67</v>
      </c>
      <c r="I131" s="15" t="str">
        <f>IF(Vanzari!$D131="Băuturi alcoolice şi ţigări","ACCIZA","TVA")</f>
        <v>TVA</v>
      </c>
      <c r="J131" s="15">
        <f>IF(Vanzari!$D131="Băuturi alcoolice şi ţigări",Vanzari!$H131*0.05,Vanzari!$H131*0.09)</f>
        <v>6.0299999999999999E-2</v>
      </c>
      <c r="K131" s="15">
        <f>SUM(Vanzari!$H131,Vanzari!$J131)</f>
        <v>0.73030000000000006</v>
      </c>
      <c r="L131" s="15">
        <f>Vanzari!$F131*Vanzari!$G131</f>
        <v>32.339999999999996</v>
      </c>
      <c r="M131" s="15">
        <f>Vanzari!$F131*Vanzari!$K131</f>
        <v>56.233100000000007</v>
      </c>
      <c r="N131" s="15" t="str">
        <f>IF(Vanzari!$M131&gt;Vanzari!$L131,"PROFIT","PIERDERE")</f>
        <v>PROFIT</v>
      </c>
      <c r="O131" s="15">
        <f>Vanzari!$M131-Vanzari!$L131</f>
        <v>23.893100000000011</v>
      </c>
      <c r="P131" s="15" cm="1">
        <f t="array" ref="P131">ProfitImpozitat(Vanzari!$O131)</f>
        <v>23.893100000000011</v>
      </c>
    </row>
    <row r="132" spans="1:16" x14ac:dyDescent="0.2">
      <c r="A132" s="14">
        <v>44530</v>
      </c>
      <c r="B132" s="7" t="s">
        <v>5</v>
      </c>
      <c r="C132" s="7" t="s">
        <v>5</v>
      </c>
      <c r="D132" s="7" t="s">
        <v>52</v>
      </c>
      <c r="E132" s="7" t="s">
        <v>18</v>
      </c>
      <c r="F132" s="7">
        <v>92</v>
      </c>
      <c r="G132" s="15">
        <v>0.42</v>
      </c>
      <c r="H132" s="15">
        <v>0.67</v>
      </c>
      <c r="I132" s="15" t="str">
        <f>IF(Vanzari!$D132="Băuturi alcoolice şi ţigări","ACCIZA","TVA")</f>
        <v>TVA</v>
      </c>
      <c r="J132" s="15">
        <f>IF(Vanzari!$D132="Băuturi alcoolice şi ţigări",Vanzari!$H132*0.05,Vanzari!$H132*0.09)</f>
        <v>6.0299999999999999E-2</v>
      </c>
      <c r="K132" s="15">
        <f>SUM(Vanzari!$H132,Vanzari!$J132)</f>
        <v>0.73030000000000006</v>
      </c>
      <c r="L132" s="15">
        <f>Vanzari!$F132*Vanzari!$G132</f>
        <v>38.64</v>
      </c>
      <c r="M132" s="15">
        <f>Vanzari!$F132*Vanzari!$K132</f>
        <v>67.187600000000003</v>
      </c>
      <c r="N132" s="15" t="str">
        <f>IF(Vanzari!$M132&gt;Vanzari!$L132,"PROFIT","PIERDERE")</f>
        <v>PROFIT</v>
      </c>
      <c r="O132" s="15">
        <f>Vanzari!$M132-Vanzari!$L132</f>
        <v>28.547600000000003</v>
      </c>
      <c r="P132" s="15" cm="1">
        <f t="array" ref="P132">ProfitImpozitat(Vanzari!$O132)</f>
        <v>28.547600000000003</v>
      </c>
    </row>
    <row r="133" spans="1:16" x14ac:dyDescent="0.2">
      <c r="A133" s="14">
        <v>44877</v>
      </c>
      <c r="B133" s="7" t="s">
        <v>1</v>
      </c>
      <c r="C133" s="7" t="s">
        <v>0</v>
      </c>
      <c r="D133" s="7" t="s">
        <v>52</v>
      </c>
      <c r="E133" s="7" t="s">
        <v>2</v>
      </c>
      <c r="F133" s="7">
        <v>137</v>
      </c>
      <c r="G133" s="15">
        <v>6</v>
      </c>
      <c r="H133" s="15">
        <v>5.7</v>
      </c>
      <c r="I133" s="15" t="str">
        <f>IF(Vanzari!$D133="Băuturi alcoolice şi ţigări","ACCIZA","TVA")</f>
        <v>TVA</v>
      </c>
      <c r="J133" s="15">
        <f>IF(Vanzari!$D133="Băuturi alcoolice şi ţigări",Vanzari!$H133*0.05,Vanzari!$H133*0.09)</f>
        <v>0.51300000000000001</v>
      </c>
      <c r="K133" s="15">
        <f>SUM(Vanzari!$H133,Vanzari!$J133)</f>
        <v>6.2130000000000001</v>
      </c>
      <c r="L133" s="15">
        <f>Vanzari!$F133*Vanzari!$G133</f>
        <v>822</v>
      </c>
      <c r="M133" s="15">
        <f>Vanzari!$F133*Vanzari!$K133</f>
        <v>851.18100000000004</v>
      </c>
      <c r="N133" s="15" t="str">
        <f>IF(Vanzari!$M133&gt;Vanzari!$L133,"PROFIT","PIERDERE")</f>
        <v>PROFIT</v>
      </c>
      <c r="O133" s="15">
        <f>Vanzari!$M133-Vanzari!$L133</f>
        <v>29.18100000000004</v>
      </c>
      <c r="P133" s="15" cm="1">
        <f t="array" ref="P133">ProfitImpozitat(Vanzari!$O133)</f>
        <v>29.18100000000004</v>
      </c>
    </row>
    <row r="134" spans="1:16" x14ac:dyDescent="0.2">
      <c r="A134" s="14">
        <v>44760</v>
      </c>
      <c r="B134" s="7" t="s">
        <v>6</v>
      </c>
      <c r="C134" s="7" t="s">
        <v>59</v>
      </c>
      <c r="D134" s="7" t="s">
        <v>52</v>
      </c>
      <c r="E134" s="7" t="s">
        <v>10</v>
      </c>
      <c r="F134" s="7">
        <v>22</v>
      </c>
      <c r="G134" s="15">
        <v>3.28</v>
      </c>
      <c r="H134" s="15">
        <v>4.2699999999999996</v>
      </c>
      <c r="I134" s="15" t="str">
        <f>IF(Vanzari!$D134="Băuturi alcoolice şi ţigări","ACCIZA","TVA")</f>
        <v>TVA</v>
      </c>
      <c r="J134" s="15">
        <f>IF(Vanzari!$D134="Băuturi alcoolice şi ţigări",Vanzari!$H134*0.05,Vanzari!$H134*0.09)</f>
        <v>0.38429999999999997</v>
      </c>
      <c r="K134" s="15">
        <f>SUM(Vanzari!$H134,Vanzari!$J134)</f>
        <v>4.6542999999999992</v>
      </c>
      <c r="L134" s="15">
        <f>Vanzari!$F134*Vanzari!$G134</f>
        <v>72.16</v>
      </c>
      <c r="M134" s="15">
        <f>Vanzari!$F134*Vanzari!$K134</f>
        <v>102.39459999999998</v>
      </c>
      <c r="N134" s="15" t="str">
        <f>IF(Vanzari!$M134&gt;Vanzari!$L134,"PROFIT","PIERDERE")</f>
        <v>PROFIT</v>
      </c>
      <c r="O134" s="15">
        <f>Vanzari!$M134-Vanzari!$L134</f>
        <v>30.234599999999986</v>
      </c>
      <c r="P134" s="15" cm="1">
        <f t="array" ref="P134">ProfitImpozitat(Vanzari!$O134)</f>
        <v>30.234599999999986</v>
      </c>
    </row>
    <row r="135" spans="1:16" x14ac:dyDescent="0.2">
      <c r="A135" s="14">
        <v>44578</v>
      </c>
      <c r="B135" s="7" t="s">
        <v>5</v>
      </c>
      <c r="C135" s="7" t="s">
        <v>5</v>
      </c>
      <c r="D135" s="7" t="s">
        <v>52</v>
      </c>
      <c r="E135" s="7" t="s">
        <v>18</v>
      </c>
      <c r="F135" s="7">
        <v>102</v>
      </c>
      <c r="G135" s="15">
        <v>0.42</v>
      </c>
      <c r="H135" s="15">
        <v>0.67</v>
      </c>
      <c r="I135" s="15" t="str">
        <f>IF(Vanzari!$D135="Băuturi alcoolice şi ţigări","ACCIZA","TVA")</f>
        <v>TVA</v>
      </c>
      <c r="J135" s="15">
        <f>IF(Vanzari!$D135="Băuturi alcoolice şi ţigări",Vanzari!$H135*0.05,Vanzari!$H135*0.09)</f>
        <v>6.0299999999999999E-2</v>
      </c>
      <c r="K135" s="15">
        <f>SUM(Vanzari!$H135,Vanzari!$J135)</f>
        <v>0.73030000000000006</v>
      </c>
      <c r="L135" s="15">
        <f>Vanzari!$F135*Vanzari!$G135</f>
        <v>42.839999999999996</v>
      </c>
      <c r="M135" s="15">
        <f>Vanzari!$F135*Vanzari!$K135</f>
        <v>74.490600000000001</v>
      </c>
      <c r="N135" s="15" t="str">
        <f>IF(Vanzari!$M135&gt;Vanzari!$L135,"PROFIT","PIERDERE")</f>
        <v>PROFIT</v>
      </c>
      <c r="O135" s="15">
        <f>Vanzari!$M135-Vanzari!$L135</f>
        <v>31.650600000000004</v>
      </c>
      <c r="P135" s="15" cm="1">
        <f t="array" ref="P135">ProfitImpozitat(Vanzari!$O135)</f>
        <v>31.650600000000004</v>
      </c>
    </row>
    <row r="136" spans="1:16" x14ac:dyDescent="0.2">
      <c r="A136" s="14">
        <v>44715</v>
      </c>
      <c r="B136" s="7" t="s">
        <v>6</v>
      </c>
      <c r="C136" s="7" t="s">
        <v>59</v>
      </c>
      <c r="D136" s="7" t="s">
        <v>52</v>
      </c>
      <c r="E136" s="7" t="s">
        <v>14</v>
      </c>
      <c r="F136" s="7">
        <v>27</v>
      </c>
      <c r="G136" s="15">
        <v>0.86</v>
      </c>
      <c r="H136" s="15">
        <v>1.87</v>
      </c>
      <c r="I136" s="15" t="str">
        <f>IF(Vanzari!$D136="Băuturi alcoolice şi ţigări","ACCIZA","TVA")</f>
        <v>TVA</v>
      </c>
      <c r="J136" s="15">
        <f>IF(Vanzari!$D136="Băuturi alcoolice şi ţigări",Vanzari!$H136*0.05,Vanzari!$H136*0.09)</f>
        <v>0.16830000000000001</v>
      </c>
      <c r="K136" s="15">
        <f>SUM(Vanzari!$H136,Vanzari!$J136)</f>
        <v>2.0383</v>
      </c>
      <c r="L136" s="15">
        <f>Vanzari!$F136*Vanzari!$G136</f>
        <v>23.22</v>
      </c>
      <c r="M136" s="15">
        <f>Vanzari!$F136*Vanzari!$K136</f>
        <v>55.034100000000002</v>
      </c>
      <c r="N136" s="15" t="str">
        <f>IF(Vanzari!$M136&gt;Vanzari!$L136,"PROFIT","PIERDERE")</f>
        <v>PROFIT</v>
      </c>
      <c r="O136" s="15">
        <f>Vanzari!$M136-Vanzari!$L136</f>
        <v>31.814100000000003</v>
      </c>
      <c r="P136" s="15" cm="1">
        <f t="array" ref="P136">ProfitImpozitat(Vanzari!$O136)</f>
        <v>31.814100000000003</v>
      </c>
    </row>
    <row r="137" spans="1:16" x14ac:dyDescent="0.2">
      <c r="A137" s="14">
        <v>44503</v>
      </c>
      <c r="B137" s="7" t="s">
        <v>1</v>
      </c>
      <c r="C137" s="7" t="s">
        <v>0</v>
      </c>
      <c r="D137" s="7" t="s">
        <v>52</v>
      </c>
      <c r="E137" s="7" t="s">
        <v>21</v>
      </c>
      <c r="F137" s="7">
        <v>39</v>
      </c>
      <c r="G137" s="15">
        <v>1.2</v>
      </c>
      <c r="H137" s="15">
        <v>1.87</v>
      </c>
      <c r="I137" s="15" t="str">
        <f>IF(Vanzari!$D137="Băuturi alcoolice şi ţigări","ACCIZA","TVA")</f>
        <v>TVA</v>
      </c>
      <c r="J137" s="15">
        <f>IF(Vanzari!$D137="Băuturi alcoolice şi ţigări",Vanzari!$H137*0.05,Vanzari!$H137*0.09)</f>
        <v>0.16830000000000001</v>
      </c>
      <c r="K137" s="15">
        <f>SUM(Vanzari!$H137,Vanzari!$J137)</f>
        <v>2.0383</v>
      </c>
      <c r="L137" s="15">
        <f>Vanzari!$F137*Vanzari!$G137</f>
        <v>46.8</v>
      </c>
      <c r="M137" s="15">
        <f>Vanzari!$F137*Vanzari!$K137</f>
        <v>79.493700000000004</v>
      </c>
      <c r="N137" s="15" t="str">
        <f>IF(Vanzari!$M137&gt;Vanzari!$L137,"PROFIT","PIERDERE")</f>
        <v>PROFIT</v>
      </c>
      <c r="O137" s="15">
        <f>Vanzari!$M137-Vanzari!$L137</f>
        <v>32.693700000000007</v>
      </c>
      <c r="P137" s="15" cm="1">
        <f t="array" ref="P137">ProfitImpozitat(Vanzari!$O137)</f>
        <v>32.693700000000007</v>
      </c>
    </row>
    <row r="138" spans="1:16" x14ac:dyDescent="0.2">
      <c r="A138" s="14">
        <v>44476</v>
      </c>
      <c r="B138" s="7" t="s">
        <v>1</v>
      </c>
      <c r="C138" s="7" t="s">
        <v>0</v>
      </c>
      <c r="D138" s="7" t="s">
        <v>52</v>
      </c>
      <c r="E138" s="7" t="s">
        <v>21</v>
      </c>
      <c r="F138" s="7">
        <v>40</v>
      </c>
      <c r="G138" s="15">
        <v>1.2</v>
      </c>
      <c r="H138" s="15">
        <v>1.87</v>
      </c>
      <c r="I138" s="15" t="str">
        <f>IF(Vanzari!$D138="Băuturi alcoolice şi ţigări","ACCIZA","TVA")</f>
        <v>TVA</v>
      </c>
      <c r="J138" s="15">
        <f>IF(Vanzari!$D138="Băuturi alcoolice şi ţigări",Vanzari!$H138*0.05,Vanzari!$H138*0.09)</f>
        <v>0.16830000000000001</v>
      </c>
      <c r="K138" s="15">
        <f>SUM(Vanzari!$H138,Vanzari!$J138)</f>
        <v>2.0383</v>
      </c>
      <c r="L138" s="15">
        <f>Vanzari!$F138*Vanzari!$G138</f>
        <v>48</v>
      </c>
      <c r="M138" s="15">
        <f>Vanzari!$F138*Vanzari!$K138</f>
        <v>81.531999999999996</v>
      </c>
      <c r="N138" s="15" t="str">
        <f>IF(Vanzari!$M138&gt;Vanzari!$L138,"PROFIT","PIERDERE")</f>
        <v>PROFIT</v>
      </c>
      <c r="O138" s="15">
        <f>Vanzari!$M138-Vanzari!$L138</f>
        <v>33.531999999999996</v>
      </c>
      <c r="P138" s="15" cm="1">
        <f t="array" ref="P138">ProfitImpozitat(Vanzari!$O138)</f>
        <v>33.531999999999996</v>
      </c>
    </row>
    <row r="139" spans="1:16" x14ac:dyDescent="0.2">
      <c r="A139" s="14">
        <v>44745</v>
      </c>
      <c r="B139" s="7" t="s">
        <v>1</v>
      </c>
      <c r="C139" s="7" t="s">
        <v>0</v>
      </c>
      <c r="D139" s="7" t="s">
        <v>52</v>
      </c>
      <c r="E139" s="7" t="s">
        <v>12</v>
      </c>
      <c r="F139" s="7">
        <v>65</v>
      </c>
      <c r="G139" s="15">
        <v>0.48</v>
      </c>
      <c r="H139" s="15">
        <v>0.91700000000000004</v>
      </c>
      <c r="I139" s="15" t="str">
        <f>IF(Vanzari!$D139="Băuturi alcoolice şi ţigări","ACCIZA","TVA")</f>
        <v>TVA</v>
      </c>
      <c r="J139" s="15">
        <f>IF(Vanzari!$D139="Băuturi alcoolice şi ţigări",Vanzari!$H139*0.05,Vanzari!$H139*0.09)</f>
        <v>8.2530000000000006E-2</v>
      </c>
      <c r="K139" s="15">
        <f>SUM(Vanzari!$H139,Vanzari!$J139)</f>
        <v>0.99953000000000003</v>
      </c>
      <c r="L139" s="15">
        <f>Vanzari!$F139*Vanzari!$G139</f>
        <v>31.2</v>
      </c>
      <c r="M139" s="15">
        <f>Vanzari!$F139*Vanzari!$K139</f>
        <v>64.969449999999995</v>
      </c>
      <c r="N139" s="15" t="str">
        <f>IF(Vanzari!$M139&gt;Vanzari!$L139,"PROFIT","PIERDERE")</f>
        <v>PROFIT</v>
      </c>
      <c r="O139" s="15">
        <f>Vanzari!$M139-Vanzari!$L139</f>
        <v>33.769449999999992</v>
      </c>
      <c r="P139" s="15" cm="1">
        <f t="array" ref="P139">ProfitImpozitat(Vanzari!$O139)</f>
        <v>33.769449999999992</v>
      </c>
    </row>
    <row r="140" spans="1:16" x14ac:dyDescent="0.2">
      <c r="A140" s="14">
        <v>44805</v>
      </c>
      <c r="B140" s="7" t="s">
        <v>6</v>
      </c>
      <c r="C140" s="7" t="s">
        <v>59</v>
      </c>
      <c r="D140" s="7" t="s">
        <v>52</v>
      </c>
      <c r="E140" s="7" t="s">
        <v>10</v>
      </c>
      <c r="F140" s="7">
        <v>25</v>
      </c>
      <c r="G140" s="15">
        <v>3.28</v>
      </c>
      <c r="H140" s="15">
        <v>4.2699999999999996</v>
      </c>
      <c r="I140" s="15" t="str">
        <f>IF(Vanzari!$D140="Băuturi alcoolice şi ţigări","ACCIZA","TVA")</f>
        <v>TVA</v>
      </c>
      <c r="J140" s="15">
        <f>IF(Vanzari!$D140="Băuturi alcoolice şi ţigări",Vanzari!$H140*0.05,Vanzari!$H140*0.09)</f>
        <v>0.38429999999999997</v>
      </c>
      <c r="K140" s="15">
        <f>SUM(Vanzari!$H140,Vanzari!$J140)</f>
        <v>4.6542999999999992</v>
      </c>
      <c r="L140" s="15">
        <f>Vanzari!$F140*Vanzari!$G140</f>
        <v>82</v>
      </c>
      <c r="M140" s="15">
        <f>Vanzari!$F140*Vanzari!$K140</f>
        <v>116.35749999999999</v>
      </c>
      <c r="N140" s="15" t="str">
        <f>IF(Vanzari!$M140&gt;Vanzari!$L140,"PROFIT","PIERDERE")</f>
        <v>PROFIT</v>
      </c>
      <c r="O140" s="15">
        <f>Vanzari!$M140-Vanzari!$L140</f>
        <v>34.357499999999987</v>
      </c>
      <c r="P140" s="15" cm="1">
        <f t="array" ref="P140">ProfitImpozitat(Vanzari!$O140)</f>
        <v>34.357499999999987</v>
      </c>
    </row>
    <row r="141" spans="1:16" x14ac:dyDescent="0.2">
      <c r="A141" s="14">
        <v>44817</v>
      </c>
      <c r="B141" s="7" t="s">
        <v>5</v>
      </c>
      <c r="C141" s="7" t="s">
        <v>5</v>
      </c>
      <c r="D141" s="7" t="s">
        <v>52</v>
      </c>
      <c r="E141" s="7" t="s">
        <v>8</v>
      </c>
      <c r="F141" s="7">
        <v>30</v>
      </c>
      <c r="G141" s="15">
        <v>2.91</v>
      </c>
      <c r="H141" s="15">
        <v>3.77</v>
      </c>
      <c r="I141" s="15" t="str">
        <f>IF(Vanzari!$D141="Băuturi alcoolice şi ţigări","ACCIZA","TVA")</f>
        <v>TVA</v>
      </c>
      <c r="J141" s="15">
        <f>IF(Vanzari!$D141="Băuturi alcoolice şi ţigări",Vanzari!$H141*0.05,Vanzari!$H141*0.09)</f>
        <v>0.33929999999999999</v>
      </c>
      <c r="K141" s="15">
        <f>SUM(Vanzari!$H141,Vanzari!$J141)</f>
        <v>4.1093000000000002</v>
      </c>
      <c r="L141" s="15">
        <f>Vanzari!$F141*Vanzari!$G141</f>
        <v>87.300000000000011</v>
      </c>
      <c r="M141" s="15">
        <f>Vanzari!$F141*Vanzari!$K141</f>
        <v>123.27900000000001</v>
      </c>
      <c r="N141" s="15" t="str">
        <f>IF(Vanzari!$M141&gt;Vanzari!$L141,"PROFIT","PIERDERE")</f>
        <v>PROFIT</v>
      </c>
      <c r="O141" s="15">
        <f>Vanzari!$M141-Vanzari!$L141</f>
        <v>35.978999999999999</v>
      </c>
      <c r="P141" s="15" cm="1">
        <f t="array" ref="P141">ProfitImpozitat(Vanzari!$O141)</f>
        <v>35.978999999999999</v>
      </c>
    </row>
    <row r="142" spans="1:16" x14ac:dyDescent="0.2">
      <c r="A142" s="14">
        <v>44676</v>
      </c>
      <c r="B142" s="7" t="s">
        <v>6</v>
      </c>
      <c r="C142" s="7" t="s">
        <v>59</v>
      </c>
      <c r="D142" s="7" t="s">
        <v>52</v>
      </c>
      <c r="E142" s="7" t="s">
        <v>15</v>
      </c>
      <c r="F142" s="7">
        <v>27</v>
      </c>
      <c r="G142" s="15">
        <v>1.62</v>
      </c>
      <c r="H142" s="15">
        <v>2.87</v>
      </c>
      <c r="I142" s="15" t="str">
        <f>IF(Vanzari!$D142="Băuturi alcoolice şi ţigări","ACCIZA","TVA")</f>
        <v>TVA</v>
      </c>
      <c r="J142" s="15">
        <f>IF(Vanzari!$D142="Băuturi alcoolice şi ţigări",Vanzari!$H142*0.05,Vanzari!$H142*0.09)</f>
        <v>0.25829999999999997</v>
      </c>
      <c r="K142" s="15">
        <f>SUM(Vanzari!$H142,Vanzari!$J142)</f>
        <v>3.1283000000000003</v>
      </c>
      <c r="L142" s="15">
        <f>Vanzari!$F142*Vanzari!$G142</f>
        <v>43.74</v>
      </c>
      <c r="M142" s="15">
        <f>Vanzari!$F142*Vanzari!$K142</f>
        <v>84.464100000000002</v>
      </c>
      <c r="N142" s="15" t="str">
        <f>IF(Vanzari!$M142&gt;Vanzari!$L142,"PROFIT","PIERDERE")</f>
        <v>PROFIT</v>
      </c>
      <c r="O142" s="15">
        <f>Vanzari!$M142-Vanzari!$L142</f>
        <v>40.7241</v>
      </c>
      <c r="P142" s="15" cm="1">
        <f t="array" ref="P142">ProfitImpozitat(Vanzari!$O142)</f>
        <v>40.7241</v>
      </c>
    </row>
    <row r="143" spans="1:16" x14ac:dyDescent="0.2">
      <c r="A143" s="14">
        <v>44311</v>
      </c>
      <c r="B143" s="7" t="s">
        <v>5</v>
      </c>
      <c r="C143" s="7" t="s">
        <v>5</v>
      </c>
      <c r="D143" s="7" t="s">
        <v>52</v>
      </c>
      <c r="E143" s="7" t="s">
        <v>25</v>
      </c>
      <c r="F143" s="7">
        <v>53</v>
      </c>
      <c r="G143" s="15">
        <v>1.52</v>
      </c>
      <c r="H143" s="15">
        <v>2.15</v>
      </c>
      <c r="I143" s="15" t="str">
        <f>IF(Vanzari!$D143="Băuturi alcoolice şi ţigări","ACCIZA","TVA")</f>
        <v>TVA</v>
      </c>
      <c r="J143" s="15">
        <f>IF(Vanzari!$D143="Băuturi alcoolice şi ţigări",Vanzari!$H143*0.05,Vanzari!$H143*0.09)</f>
        <v>0.19349999999999998</v>
      </c>
      <c r="K143" s="15">
        <f>SUM(Vanzari!$H143,Vanzari!$J143)</f>
        <v>2.3434999999999997</v>
      </c>
      <c r="L143" s="15">
        <f>Vanzari!$F143*Vanzari!$G143</f>
        <v>80.56</v>
      </c>
      <c r="M143" s="15">
        <f>Vanzari!$F143*Vanzari!$K143</f>
        <v>124.20549999999999</v>
      </c>
      <c r="N143" s="15" t="str">
        <f>IF(Vanzari!$M143&gt;Vanzari!$L143,"PROFIT","PIERDERE")</f>
        <v>PROFIT</v>
      </c>
      <c r="O143" s="15">
        <f>Vanzari!$M143-Vanzari!$L143</f>
        <v>43.645499999999984</v>
      </c>
      <c r="P143" s="15" cm="1">
        <f t="array" ref="P143">ProfitImpozitat(Vanzari!$O143)</f>
        <v>43.645499999999984</v>
      </c>
    </row>
    <row r="144" spans="1:16" x14ac:dyDescent="0.2">
      <c r="A144" s="14">
        <v>44727</v>
      </c>
      <c r="B144" s="7" t="s">
        <v>5</v>
      </c>
      <c r="C144" s="7" t="s">
        <v>5</v>
      </c>
      <c r="D144" s="7" t="s">
        <v>52</v>
      </c>
      <c r="E144" s="7" t="s">
        <v>14</v>
      </c>
      <c r="F144" s="7">
        <v>38</v>
      </c>
      <c r="G144" s="15">
        <v>0.86</v>
      </c>
      <c r="H144" s="15">
        <v>1.87</v>
      </c>
      <c r="I144" s="15" t="str">
        <f>IF(Vanzari!$D144="Băuturi alcoolice şi ţigări","ACCIZA","TVA")</f>
        <v>TVA</v>
      </c>
      <c r="J144" s="15">
        <f>IF(Vanzari!$D144="Băuturi alcoolice şi ţigări",Vanzari!$H144*0.05,Vanzari!$H144*0.09)</f>
        <v>0.16830000000000001</v>
      </c>
      <c r="K144" s="15">
        <f>SUM(Vanzari!$H144,Vanzari!$J144)</f>
        <v>2.0383</v>
      </c>
      <c r="L144" s="15">
        <f>Vanzari!$F144*Vanzari!$G144</f>
        <v>32.68</v>
      </c>
      <c r="M144" s="15">
        <f>Vanzari!$F144*Vanzari!$K144</f>
        <v>77.455399999999997</v>
      </c>
      <c r="N144" s="15" t="str">
        <f>IF(Vanzari!$M144&gt;Vanzari!$L144,"PROFIT","PIERDERE")</f>
        <v>PROFIT</v>
      </c>
      <c r="O144" s="15">
        <f>Vanzari!$M144-Vanzari!$L144</f>
        <v>44.775399999999998</v>
      </c>
      <c r="P144" s="15" cm="1">
        <f t="array" ref="P144">ProfitImpozitat(Vanzari!$O144)</f>
        <v>44.775399999999998</v>
      </c>
    </row>
    <row r="145" spans="1:16" x14ac:dyDescent="0.2">
      <c r="A145" s="14">
        <v>44847</v>
      </c>
      <c r="B145" s="7" t="s">
        <v>60</v>
      </c>
      <c r="C145" s="7" t="s">
        <v>60</v>
      </c>
      <c r="D145" s="7" t="s">
        <v>52</v>
      </c>
      <c r="E145" s="7" t="s">
        <v>8</v>
      </c>
      <c r="F145" s="7">
        <v>40</v>
      </c>
      <c r="G145" s="15">
        <v>2.91</v>
      </c>
      <c r="H145" s="15">
        <v>3.77</v>
      </c>
      <c r="I145" s="15" t="str">
        <f>IF(Vanzari!$D145="Băuturi alcoolice şi ţigări","ACCIZA","TVA")</f>
        <v>TVA</v>
      </c>
      <c r="J145" s="15">
        <f>IF(Vanzari!$D145="Băuturi alcoolice şi ţigări",Vanzari!$H145*0.05,Vanzari!$H145*0.09)</f>
        <v>0.33929999999999999</v>
      </c>
      <c r="K145" s="15">
        <f>SUM(Vanzari!$H145,Vanzari!$J145)</f>
        <v>4.1093000000000002</v>
      </c>
      <c r="L145" s="15">
        <f>Vanzari!$F145*Vanzari!$G145</f>
        <v>116.4</v>
      </c>
      <c r="M145" s="15">
        <f>Vanzari!$F145*Vanzari!$K145</f>
        <v>164.37200000000001</v>
      </c>
      <c r="N145" s="15" t="str">
        <f>IF(Vanzari!$M145&gt;Vanzari!$L145,"PROFIT","PIERDERE")</f>
        <v>PROFIT</v>
      </c>
      <c r="O145" s="15">
        <f>Vanzari!$M145-Vanzari!$L145</f>
        <v>47.972000000000008</v>
      </c>
      <c r="P145" s="15" cm="1">
        <f t="array" ref="P145">ProfitImpozitat(Vanzari!$O145)</f>
        <v>47.972000000000008</v>
      </c>
    </row>
    <row r="146" spans="1:16" x14ac:dyDescent="0.2">
      <c r="A146" s="14">
        <v>44221</v>
      </c>
      <c r="B146" s="7" t="s">
        <v>5</v>
      </c>
      <c r="C146" s="7" t="s">
        <v>5</v>
      </c>
      <c r="D146" s="7" t="s">
        <v>52</v>
      </c>
      <c r="E146" s="7" t="s">
        <v>28</v>
      </c>
      <c r="F146" s="7">
        <v>100</v>
      </c>
      <c r="G146" s="15">
        <v>2.2000000000000002</v>
      </c>
      <c r="H146" s="15">
        <v>2.4700000000000002</v>
      </c>
      <c r="I146" s="15" t="str">
        <f>IF(Vanzari!$D146="Băuturi alcoolice şi ţigări","ACCIZA","TVA")</f>
        <v>TVA</v>
      </c>
      <c r="J146" s="15">
        <f>IF(Vanzari!$D146="Băuturi alcoolice şi ţigări",Vanzari!$H146*0.05,Vanzari!$H146*0.09)</f>
        <v>0.2223</v>
      </c>
      <c r="K146" s="15">
        <f>SUM(Vanzari!$H146,Vanzari!$J146)</f>
        <v>2.6923000000000004</v>
      </c>
      <c r="L146" s="15">
        <f>Vanzari!$F146*Vanzari!$G146</f>
        <v>220.00000000000003</v>
      </c>
      <c r="M146" s="15">
        <f>Vanzari!$F146*Vanzari!$K146</f>
        <v>269.23</v>
      </c>
      <c r="N146" s="15" t="str">
        <f>IF(Vanzari!$M146&gt;Vanzari!$L146,"PROFIT","PIERDERE")</f>
        <v>PROFIT</v>
      </c>
      <c r="O146" s="15">
        <f>Vanzari!$M146-Vanzari!$L146</f>
        <v>49.22999999999999</v>
      </c>
      <c r="P146" s="15" cm="1">
        <f t="array" ref="P146">ProfitImpozitat(Vanzari!$O146)</f>
        <v>49.22999999999999</v>
      </c>
    </row>
    <row r="147" spans="1:16" x14ac:dyDescent="0.2">
      <c r="A147" s="14">
        <v>44518</v>
      </c>
      <c r="B147" s="7" t="s">
        <v>6</v>
      </c>
      <c r="C147" s="7" t="s">
        <v>59</v>
      </c>
      <c r="D147" s="7" t="s">
        <v>52</v>
      </c>
      <c r="E147" s="7" t="s">
        <v>21</v>
      </c>
      <c r="F147" s="7">
        <v>66</v>
      </c>
      <c r="G147" s="15">
        <v>1.2</v>
      </c>
      <c r="H147" s="15">
        <v>1.87</v>
      </c>
      <c r="I147" s="15" t="str">
        <f>IF(Vanzari!$D147="Băuturi alcoolice şi ţigări","ACCIZA","TVA")</f>
        <v>TVA</v>
      </c>
      <c r="J147" s="15">
        <f>IF(Vanzari!$D147="Băuturi alcoolice şi ţigări",Vanzari!$H147*0.05,Vanzari!$H147*0.09)</f>
        <v>0.16830000000000001</v>
      </c>
      <c r="K147" s="15">
        <f>SUM(Vanzari!$H147,Vanzari!$J147)</f>
        <v>2.0383</v>
      </c>
      <c r="L147" s="15">
        <f>Vanzari!$F147*Vanzari!$G147</f>
        <v>79.2</v>
      </c>
      <c r="M147" s="15">
        <f>Vanzari!$F147*Vanzari!$K147</f>
        <v>134.52780000000001</v>
      </c>
      <c r="N147" s="15" t="str">
        <f>IF(Vanzari!$M147&gt;Vanzari!$L147,"PROFIT","PIERDERE")</f>
        <v>PROFIT</v>
      </c>
      <c r="O147" s="15">
        <f>Vanzari!$M147-Vanzari!$L147</f>
        <v>55.327800000000011</v>
      </c>
      <c r="P147" s="15" cm="1">
        <f t="array" ref="P147">ProfitImpozitat(Vanzari!$O147)</f>
        <v>55.327800000000011</v>
      </c>
    </row>
    <row r="148" spans="1:16" x14ac:dyDescent="0.2">
      <c r="A148" s="14">
        <v>44688</v>
      </c>
      <c r="B148" s="7" t="s">
        <v>5</v>
      </c>
      <c r="C148" s="7" t="s">
        <v>5</v>
      </c>
      <c r="D148" s="7" t="s">
        <v>52</v>
      </c>
      <c r="E148" s="7" t="s">
        <v>14</v>
      </c>
      <c r="F148" s="7">
        <v>47</v>
      </c>
      <c r="G148" s="15">
        <v>0.86</v>
      </c>
      <c r="H148" s="15">
        <v>1.87</v>
      </c>
      <c r="I148" s="15" t="str">
        <f>IF(Vanzari!$D148="Băuturi alcoolice şi ţigări","ACCIZA","TVA")</f>
        <v>TVA</v>
      </c>
      <c r="J148" s="15">
        <f>IF(Vanzari!$D148="Băuturi alcoolice şi ţigări",Vanzari!$H148*0.05,Vanzari!$H148*0.09)</f>
        <v>0.16830000000000001</v>
      </c>
      <c r="K148" s="15">
        <f>SUM(Vanzari!$H148,Vanzari!$J148)</f>
        <v>2.0383</v>
      </c>
      <c r="L148" s="15">
        <f>Vanzari!$F148*Vanzari!$G148</f>
        <v>40.42</v>
      </c>
      <c r="M148" s="15">
        <f>Vanzari!$F148*Vanzari!$K148</f>
        <v>95.8001</v>
      </c>
      <c r="N148" s="15" t="str">
        <f>IF(Vanzari!$M148&gt;Vanzari!$L148,"PROFIT","PIERDERE")</f>
        <v>PROFIT</v>
      </c>
      <c r="O148" s="15">
        <f>Vanzari!$M148-Vanzari!$L148</f>
        <v>55.380099999999999</v>
      </c>
      <c r="P148" s="15" cm="1">
        <f t="array" ref="P148">ProfitImpozitat(Vanzari!$O148)</f>
        <v>55.380099999999999</v>
      </c>
    </row>
    <row r="149" spans="1:16" x14ac:dyDescent="0.2">
      <c r="A149" s="14">
        <v>44799</v>
      </c>
      <c r="B149" s="7" t="s">
        <v>60</v>
      </c>
      <c r="C149" s="7" t="s">
        <v>60</v>
      </c>
      <c r="D149" s="7" t="s">
        <v>52</v>
      </c>
      <c r="E149" s="7" t="s">
        <v>10</v>
      </c>
      <c r="F149" s="7">
        <v>41</v>
      </c>
      <c r="G149" s="15">
        <v>3.28</v>
      </c>
      <c r="H149" s="15">
        <v>4.2699999999999996</v>
      </c>
      <c r="I149" s="15" t="str">
        <f>IF(Vanzari!$D149="Băuturi alcoolice şi ţigări","ACCIZA","TVA")</f>
        <v>TVA</v>
      </c>
      <c r="J149" s="15">
        <f>IF(Vanzari!$D149="Băuturi alcoolice şi ţigări",Vanzari!$H149*0.05,Vanzari!$H149*0.09)</f>
        <v>0.38429999999999997</v>
      </c>
      <c r="K149" s="15">
        <f>SUM(Vanzari!$H149,Vanzari!$J149)</f>
        <v>4.6542999999999992</v>
      </c>
      <c r="L149" s="15">
        <f>Vanzari!$F149*Vanzari!$G149</f>
        <v>134.47999999999999</v>
      </c>
      <c r="M149" s="15">
        <f>Vanzari!$F149*Vanzari!$K149</f>
        <v>190.82629999999997</v>
      </c>
      <c r="N149" s="15" t="str">
        <f>IF(Vanzari!$M149&gt;Vanzari!$L149,"PROFIT","PIERDERE")</f>
        <v>PROFIT</v>
      </c>
      <c r="O149" s="15">
        <f>Vanzari!$M149-Vanzari!$L149</f>
        <v>56.346299999999985</v>
      </c>
      <c r="P149" s="15" cm="1">
        <f t="array" ref="P149">ProfitImpozitat(Vanzari!$O149)</f>
        <v>56.346299999999985</v>
      </c>
    </row>
    <row r="150" spans="1:16" x14ac:dyDescent="0.2">
      <c r="A150" s="14">
        <v>44823</v>
      </c>
      <c r="B150" s="7" t="s">
        <v>60</v>
      </c>
      <c r="C150" s="7" t="s">
        <v>60</v>
      </c>
      <c r="D150" s="7" t="s">
        <v>52</v>
      </c>
      <c r="E150" s="7" t="s">
        <v>8</v>
      </c>
      <c r="F150" s="7">
        <v>49</v>
      </c>
      <c r="G150" s="15">
        <v>2.91</v>
      </c>
      <c r="H150" s="15">
        <v>3.77</v>
      </c>
      <c r="I150" s="15" t="str">
        <f>IF(Vanzari!$D150="Băuturi alcoolice şi ţigări","ACCIZA","TVA")</f>
        <v>TVA</v>
      </c>
      <c r="J150" s="15">
        <f>IF(Vanzari!$D150="Băuturi alcoolice şi ţigări",Vanzari!$H150*0.05,Vanzari!$H150*0.09)</f>
        <v>0.33929999999999999</v>
      </c>
      <c r="K150" s="15">
        <f>SUM(Vanzari!$H150,Vanzari!$J150)</f>
        <v>4.1093000000000002</v>
      </c>
      <c r="L150" s="15">
        <f>Vanzari!$F150*Vanzari!$G150</f>
        <v>142.59</v>
      </c>
      <c r="M150" s="15">
        <f>Vanzari!$F150*Vanzari!$K150</f>
        <v>201.35570000000001</v>
      </c>
      <c r="N150" s="15" t="str">
        <f>IF(Vanzari!$M150&gt;Vanzari!$L150,"PROFIT","PIERDERE")</f>
        <v>PROFIT</v>
      </c>
      <c r="O150" s="15">
        <f>Vanzari!$M150-Vanzari!$L150</f>
        <v>58.76570000000001</v>
      </c>
      <c r="P150" s="15" cm="1">
        <f t="array" ref="P150">ProfitImpozitat(Vanzari!$O150)</f>
        <v>58.76570000000001</v>
      </c>
    </row>
    <row r="151" spans="1:16" x14ac:dyDescent="0.2">
      <c r="A151" s="14">
        <v>44922</v>
      </c>
      <c r="B151" s="7" t="s">
        <v>1</v>
      </c>
      <c r="C151" s="7" t="s">
        <v>0</v>
      </c>
      <c r="D151" s="7" t="s">
        <v>52</v>
      </c>
      <c r="E151" s="7" t="s">
        <v>2</v>
      </c>
      <c r="F151" s="7">
        <v>300</v>
      </c>
      <c r="G151" s="15">
        <v>6</v>
      </c>
      <c r="H151" s="15">
        <v>5.7</v>
      </c>
      <c r="I151" s="15" t="str">
        <f>IF(Vanzari!$D151="Băuturi alcoolice şi ţigări","ACCIZA","TVA")</f>
        <v>TVA</v>
      </c>
      <c r="J151" s="15">
        <f>IF(Vanzari!$D151="Băuturi alcoolice şi ţigări",Vanzari!$H151*0.05,Vanzari!$H151*0.09)</f>
        <v>0.51300000000000001</v>
      </c>
      <c r="K151" s="15">
        <f>SUM(Vanzari!$H151,Vanzari!$J151)</f>
        <v>6.2130000000000001</v>
      </c>
      <c r="L151" s="15">
        <f>Vanzari!$F151*Vanzari!$G151</f>
        <v>1800</v>
      </c>
      <c r="M151" s="15">
        <f>Vanzari!$F151*Vanzari!$K151</f>
        <v>1863.9</v>
      </c>
      <c r="N151" s="15" t="str">
        <f>IF(Vanzari!$M151&gt;Vanzari!$L151,"PROFIT","PIERDERE")</f>
        <v>PROFIT</v>
      </c>
      <c r="O151" s="15">
        <f>Vanzari!$M151-Vanzari!$L151</f>
        <v>63.900000000000091</v>
      </c>
      <c r="P151" s="15" cm="1">
        <f t="array" ref="P151">ProfitImpozitat(Vanzari!$O151)</f>
        <v>63.900000000000091</v>
      </c>
    </row>
    <row r="152" spans="1:16" x14ac:dyDescent="0.2">
      <c r="A152" s="14">
        <v>44470</v>
      </c>
      <c r="B152" s="7" t="s">
        <v>6</v>
      </c>
      <c r="C152" s="7" t="s">
        <v>59</v>
      </c>
      <c r="D152" s="7" t="s">
        <v>52</v>
      </c>
      <c r="E152" s="7" t="s">
        <v>21</v>
      </c>
      <c r="F152" s="7">
        <v>77</v>
      </c>
      <c r="G152" s="15">
        <v>1.2</v>
      </c>
      <c r="H152" s="15">
        <v>1.87</v>
      </c>
      <c r="I152" s="15" t="str">
        <f>IF(Vanzari!$D152="Băuturi alcoolice şi ţigări","ACCIZA","TVA")</f>
        <v>TVA</v>
      </c>
      <c r="J152" s="15">
        <f>IF(Vanzari!$D152="Băuturi alcoolice şi ţigări",Vanzari!$H152*0.05,Vanzari!$H152*0.09)</f>
        <v>0.16830000000000001</v>
      </c>
      <c r="K152" s="15">
        <f>SUM(Vanzari!$H152,Vanzari!$J152)</f>
        <v>2.0383</v>
      </c>
      <c r="L152" s="15">
        <f>Vanzari!$F152*Vanzari!$G152</f>
        <v>92.399999999999991</v>
      </c>
      <c r="M152" s="15">
        <f>Vanzari!$F152*Vanzari!$K152</f>
        <v>156.94909999999999</v>
      </c>
      <c r="N152" s="15" t="str">
        <f>IF(Vanzari!$M152&gt;Vanzari!$L152,"PROFIT","PIERDERE")</f>
        <v>PROFIT</v>
      </c>
      <c r="O152" s="15">
        <f>Vanzari!$M152-Vanzari!$L152</f>
        <v>64.549099999999996</v>
      </c>
      <c r="P152" s="15" cm="1">
        <f t="array" ref="P152">ProfitImpozitat(Vanzari!$O152)</f>
        <v>64.549099999999996</v>
      </c>
    </row>
    <row r="153" spans="1:16" x14ac:dyDescent="0.2">
      <c r="A153" s="14">
        <v>44281</v>
      </c>
      <c r="B153" s="7" t="s">
        <v>6</v>
      </c>
      <c r="C153" s="7" t="s">
        <v>59</v>
      </c>
      <c r="D153" s="7" t="s">
        <v>52</v>
      </c>
      <c r="E153" s="7" t="s">
        <v>27</v>
      </c>
      <c r="F153" s="7">
        <v>103</v>
      </c>
      <c r="G153" s="15">
        <v>0.31</v>
      </c>
      <c r="H153" s="15">
        <v>0.87</v>
      </c>
      <c r="I153" s="15" t="str">
        <f>IF(Vanzari!$D153="Băuturi alcoolice şi ţigări","ACCIZA","TVA")</f>
        <v>TVA</v>
      </c>
      <c r="J153" s="15">
        <f>IF(Vanzari!$D153="Băuturi alcoolice şi ţigări",Vanzari!$H153*0.05,Vanzari!$H153*0.09)</f>
        <v>7.8299999999999995E-2</v>
      </c>
      <c r="K153" s="15">
        <f>SUM(Vanzari!$H153,Vanzari!$J153)</f>
        <v>0.94830000000000003</v>
      </c>
      <c r="L153" s="15">
        <f>Vanzari!$F153*Vanzari!$G153</f>
        <v>31.93</v>
      </c>
      <c r="M153" s="15">
        <f>Vanzari!$F153*Vanzari!$K153</f>
        <v>97.674900000000008</v>
      </c>
      <c r="N153" s="15" t="str">
        <f>IF(Vanzari!$M153&gt;Vanzari!$L153,"PROFIT","PIERDERE")</f>
        <v>PROFIT</v>
      </c>
      <c r="O153" s="15">
        <f>Vanzari!$M153-Vanzari!$L153</f>
        <v>65.744900000000001</v>
      </c>
      <c r="P153" s="15" cm="1">
        <f t="array" ref="P153">ProfitImpozitat(Vanzari!$O153)</f>
        <v>65.744900000000001</v>
      </c>
    </row>
    <row r="154" spans="1:16" x14ac:dyDescent="0.2">
      <c r="A154" s="14">
        <v>44697</v>
      </c>
      <c r="B154" s="7" t="s">
        <v>6</v>
      </c>
      <c r="C154" s="7" t="s">
        <v>59</v>
      </c>
      <c r="D154" s="7" t="s">
        <v>52</v>
      </c>
      <c r="E154" s="7" t="s">
        <v>14</v>
      </c>
      <c r="F154" s="7">
        <v>58</v>
      </c>
      <c r="G154" s="15">
        <v>0.86</v>
      </c>
      <c r="H154" s="15">
        <v>1.87</v>
      </c>
      <c r="I154" s="15" t="str">
        <f>IF(Vanzari!$D154="Băuturi alcoolice şi ţigări","ACCIZA","TVA")</f>
        <v>TVA</v>
      </c>
      <c r="J154" s="15">
        <f>IF(Vanzari!$D154="Băuturi alcoolice şi ţigări",Vanzari!$H154*0.05,Vanzari!$H154*0.09)</f>
        <v>0.16830000000000001</v>
      </c>
      <c r="K154" s="15">
        <f>SUM(Vanzari!$H154,Vanzari!$J154)</f>
        <v>2.0383</v>
      </c>
      <c r="L154" s="15">
        <f>Vanzari!$F154*Vanzari!$G154</f>
        <v>49.88</v>
      </c>
      <c r="M154" s="15">
        <f>Vanzari!$F154*Vanzari!$K154</f>
        <v>118.2214</v>
      </c>
      <c r="N154" s="15" t="str">
        <f>IF(Vanzari!$M154&gt;Vanzari!$L154,"PROFIT","PIERDERE")</f>
        <v>PROFIT</v>
      </c>
      <c r="O154" s="15">
        <f>Vanzari!$M154-Vanzari!$L154</f>
        <v>68.341399999999993</v>
      </c>
      <c r="P154" s="15" cm="1">
        <f t="array" ref="P154">ProfitImpozitat(Vanzari!$O154)</f>
        <v>68.341399999999993</v>
      </c>
    </row>
    <row r="155" spans="1:16" x14ac:dyDescent="0.2">
      <c r="A155" s="14">
        <v>44811</v>
      </c>
      <c r="B155" s="7" t="s">
        <v>1</v>
      </c>
      <c r="C155" s="7" t="s">
        <v>0</v>
      </c>
      <c r="D155" s="7" t="s">
        <v>52</v>
      </c>
      <c r="E155" s="7" t="s">
        <v>10</v>
      </c>
      <c r="F155" s="7">
        <v>50</v>
      </c>
      <c r="G155" s="15">
        <v>3.28</v>
      </c>
      <c r="H155" s="15">
        <v>4.2699999999999996</v>
      </c>
      <c r="I155" s="15" t="str">
        <f>IF(Vanzari!$D155="Băuturi alcoolice şi ţigări","ACCIZA","TVA")</f>
        <v>TVA</v>
      </c>
      <c r="J155" s="15">
        <f>IF(Vanzari!$D155="Băuturi alcoolice şi ţigări",Vanzari!$H155*0.05,Vanzari!$H155*0.09)</f>
        <v>0.38429999999999997</v>
      </c>
      <c r="K155" s="15">
        <f>SUM(Vanzari!$H155,Vanzari!$J155)</f>
        <v>4.6542999999999992</v>
      </c>
      <c r="L155" s="15">
        <f>Vanzari!$F155*Vanzari!$G155</f>
        <v>164</v>
      </c>
      <c r="M155" s="15">
        <f>Vanzari!$F155*Vanzari!$K155</f>
        <v>232.71499999999997</v>
      </c>
      <c r="N155" s="15" t="str">
        <f>IF(Vanzari!$M155&gt;Vanzari!$L155,"PROFIT","PIERDERE")</f>
        <v>PROFIT</v>
      </c>
      <c r="O155" s="15">
        <f>Vanzari!$M155-Vanzari!$L155</f>
        <v>68.714999999999975</v>
      </c>
      <c r="P155" s="15" cm="1">
        <f t="array" ref="P155">ProfitImpozitat(Vanzari!$O155)</f>
        <v>68.714999999999975</v>
      </c>
    </row>
    <row r="156" spans="1:16" x14ac:dyDescent="0.2">
      <c r="A156" s="14">
        <v>44667</v>
      </c>
      <c r="B156" s="7" t="s">
        <v>5</v>
      </c>
      <c r="C156" s="7" t="s">
        <v>5</v>
      </c>
      <c r="D156" s="7" t="s">
        <v>52</v>
      </c>
      <c r="E156" s="7" t="s">
        <v>15</v>
      </c>
      <c r="F156" s="7">
        <v>48</v>
      </c>
      <c r="G156" s="15">
        <v>1.62</v>
      </c>
      <c r="H156" s="15">
        <v>2.87</v>
      </c>
      <c r="I156" s="15" t="str">
        <f>IF(Vanzari!$D156="Băuturi alcoolice şi ţigări","ACCIZA","TVA")</f>
        <v>TVA</v>
      </c>
      <c r="J156" s="15">
        <f>IF(Vanzari!$D156="Băuturi alcoolice şi ţigări",Vanzari!$H156*0.05,Vanzari!$H156*0.09)</f>
        <v>0.25829999999999997</v>
      </c>
      <c r="K156" s="15">
        <f>SUM(Vanzari!$H156,Vanzari!$J156)</f>
        <v>3.1283000000000003</v>
      </c>
      <c r="L156" s="15">
        <f>Vanzari!$F156*Vanzari!$G156</f>
        <v>77.760000000000005</v>
      </c>
      <c r="M156" s="15">
        <f>Vanzari!$F156*Vanzari!$K156</f>
        <v>150.15840000000003</v>
      </c>
      <c r="N156" s="15" t="str">
        <f>IF(Vanzari!$M156&gt;Vanzari!$L156,"PROFIT","PIERDERE")</f>
        <v>PROFIT</v>
      </c>
      <c r="O156" s="15">
        <f>Vanzari!$M156-Vanzari!$L156</f>
        <v>72.398400000000024</v>
      </c>
      <c r="P156" s="15" cm="1">
        <f t="array" ref="P156">ProfitImpozitat(Vanzari!$O156)</f>
        <v>72.398400000000024</v>
      </c>
    </row>
    <row r="157" spans="1:16" x14ac:dyDescent="0.2">
      <c r="A157" s="14">
        <v>44509</v>
      </c>
      <c r="B157" s="7" t="s">
        <v>5</v>
      </c>
      <c r="C157" s="7" t="s">
        <v>5</v>
      </c>
      <c r="D157" s="7" t="s">
        <v>52</v>
      </c>
      <c r="E157" s="7" t="s">
        <v>21</v>
      </c>
      <c r="F157" s="7">
        <v>90</v>
      </c>
      <c r="G157" s="15">
        <v>1.2</v>
      </c>
      <c r="H157" s="15">
        <v>1.87</v>
      </c>
      <c r="I157" s="15" t="str">
        <f>IF(Vanzari!$D157="Băuturi alcoolice şi ţigări","ACCIZA","TVA")</f>
        <v>TVA</v>
      </c>
      <c r="J157" s="15">
        <f>IF(Vanzari!$D157="Băuturi alcoolice şi ţigări",Vanzari!$H157*0.05,Vanzari!$H157*0.09)</f>
        <v>0.16830000000000001</v>
      </c>
      <c r="K157" s="15">
        <f>SUM(Vanzari!$H157,Vanzari!$J157)</f>
        <v>2.0383</v>
      </c>
      <c r="L157" s="15">
        <f>Vanzari!$F157*Vanzari!$G157</f>
        <v>108</v>
      </c>
      <c r="M157" s="15">
        <f>Vanzari!$F157*Vanzari!$K157</f>
        <v>183.447</v>
      </c>
      <c r="N157" s="15" t="str">
        <f>IF(Vanzari!$M157&gt;Vanzari!$L157,"PROFIT","PIERDERE")</f>
        <v>PROFIT</v>
      </c>
      <c r="O157" s="15">
        <f>Vanzari!$M157-Vanzari!$L157</f>
        <v>75.447000000000003</v>
      </c>
      <c r="P157" s="15" cm="1">
        <f t="array" ref="P157">ProfitImpozitat(Vanzari!$O157)</f>
        <v>75.447000000000003</v>
      </c>
    </row>
    <row r="158" spans="1:16" x14ac:dyDescent="0.2">
      <c r="A158" s="14">
        <v>44784</v>
      </c>
      <c r="B158" s="7" t="s">
        <v>6</v>
      </c>
      <c r="C158" s="7" t="s">
        <v>59</v>
      </c>
      <c r="D158" s="7" t="s">
        <v>52</v>
      </c>
      <c r="E158" s="7" t="s">
        <v>10</v>
      </c>
      <c r="F158" s="7">
        <v>55</v>
      </c>
      <c r="G158" s="15">
        <v>3.28</v>
      </c>
      <c r="H158" s="15">
        <v>4.2699999999999996</v>
      </c>
      <c r="I158" s="15" t="str">
        <f>IF(Vanzari!$D158="Băuturi alcoolice şi ţigări","ACCIZA","TVA")</f>
        <v>TVA</v>
      </c>
      <c r="J158" s="15">
        <f>IF(Vanzari!$D158="Băuturi alcoolice şi ţigări",Vanzari!$H158*0.05,Vanzari!$H158*0.09)</f>
        <v>0.38429999999999997</v>
      </c>
      <c r="K158" s="15">
        <f>SUM(Vanzari!$H158,Vanzari!$J158)</f>
        <v>4.6542999999999992</v>
      </c>
      <c r="L158" s="15">
        <f>Vanzari!$F158*Vanzari!$G158</f>
        <v>180.39999999999998</v>
      </c>
      <c r="M158" s="15">
        <f>Vanzari!$F158*Vanzari!$K158</f>
        <v>255.98649999999995</v>
      </c>
      <c r="N158" s="15" t="str">
        <f>IF(Vanzari!$M158&gt;Vanzari!$L158,"PROFIT","PIERDERE")</f>
        <v>PROFIT</v>
      </c>
      <c r="O158" s="15">
        <f>Vanzari!$M158-Vanzari!$L158</f>
        <v>75.586499999999972</v>
      </c>
      <c r="P158" s="15" cm="1">
        <f t="array" ref="P158">ProfitImpozitat(Vanzari!$O158)</f>
        <v>75.586499999999972</v>
      </c>
    </row>
    <row r="159" spans="1:16" x14ac:dyDescent="0.2">
      <c r="A159" s="14">
        <v>44859</v>
      </c>
      <c r="B159" s="7" t="s">
        <v>1</v>
      </c>
      <c r="C159" s="7" t="s">
        <v>0</v>
      </c>
      <c r="D159" s="7" t="s">
        <v>52</v>
      </c>
      <c r="E159" s="7" t="s">
        <v>2</v>
      </c>
      <c r="F159" s="7">
        <v>355</v>
      </c>
      <c r="G159" s="15">
        <v>6</v>
      </c>
      <c r="H159" s="15">
        <v>5.7</v>
      </c>
      <c r="I159" s="15" t="str">
        <f>IF(Vanzari!$D159="Băuturi alcoolice şi ţigări","ACCIZA","TVA")</f>
        <v>TVA</v>
      </c>
      <c r="J159" s="15">
        <f>IF(Vanzari!$D159="Băuturi alcoolice şi ţigări",Vanzari!$H159*0.05,Vanzari!$H159*0.09)</f>
        <v>0.51300000000000001</v>
      </c>
      <c r="K159" s="15">
        <f>SUM(Vanzari!$H159,Vanzari!$J159)</f>
        <v>6.2130000000000001</v>
      </c>
      <c r="L159" s="15">
        <f>Vanzari!$F159*Vanzari!$G159</f>
        <v>2130</v>
      </c>
      <c r="M159" s="15">
        <f>Vanzari!$F159*Vanzari!$K159</f>
        <v>2205.6150000000002</v>
      </c>
      <c r="N159" s="15" t="str">
        <f>IF(Vanzari!$M159&gt;Vanzari!$L159,"PROFIT","PIERDERE")</f>
        <v>PROFIT</v>
      </c>
      <c r="O159" s="15">
        <f>Vanzari!$M159-Vanzari!$L159</f>
        <v>75.615000000000236</v>
      </c>
      <c r="P159" s="15" cm="1">
        <f t="array" ref="P159">ProfitImpozitat(Vanzari!$O159)</f>
        <v>75.615000000000236</v>
      </c>
    </row>
    <row r="160" spans="1:16" x14ac:dyDescent="0.2">
      <c r="A160" s="14">
        <v>44904</v>
      </c>
      <c r="B160" s="7" t="s">
        <v>5</v>
      </c>
      <c r="C160" s="7" t="s">
        <v>5</v>
      </c>
      <c r="D160" s="7" t="s">
        <v>52</v>
      </c>
      <c r="E160" s="7" t="s">
        <v>2</v>
      </c>
      <c r="F160" s="7">
        <v>385</v>
      </c>
      <c r="G160" s="15">
        <v>6</v>
      </c>
      <c r="H160" s="15">
        <v>5.7</v>
      </c>
      <c r="I160" s="15" t="str">
        <f>IF(Vanzari!$D160="Băuturi alcoolice şi ţigări","ACCIZA","TVA")</f>
        <v>TVA</v>
      </c>
      <c r="J160" s="15">
        <f>IF(Vanzari!$D160="Băuturi alcoolice şi ţigări",Vanzari!$H160*0.05,Vanzari!$H160*0.09)</f>
        <v>0.51300000000000001</v>
      </c>
      <c r="K160" s="15">
        <f>SUM(Vanzari!$H160,Vanzari!$J160)</f>
        <v>6.2130000000000001</v>
      </c>
      <c r="L160" s="15">
        <f>Vanzari!$F160*Vanzari!$G160</f>
        <v>2310</v>
      </c>
      <c r="M160" s="15">
        <f>Vanzari!$F160*Vanzari!$K160</f>
        <v>2392.0050000000001</v>
      </c>
      <c r="N160" s="15" t="str">
        <f>IF(Vanzari!$M160&gt;Vanzari!$L160,"PROFIT","PIERDERE")</f>
        <v>PROFIT</v>
      </c>
      <c r="O160" s="15">
        <f>Vanzari!$M160-Vanzari!$L160</f>
        <v>82.005000000000109</v>
      </c>
      <c r="P160" s="15" cm="1">
        <f t="array" ref="P160">ProfitImpozitat(Vanzari!$O160)</f>
        <v>82.005000000000109</v>
      </c>
    </row>
    <row r="161" spans="1:16" x14ac:dyDescent="0.2">
      <c r="A161" s="14">
        <v>44646</v>
      </c>
      <c r="B161" s="7" t="s">
        <v>5</v>
      </c>
      <c r="C161" s="7" t="s">
        <v>5</v>
      </c>
      <c r="D161" s="7" t="s">
        <v>52</v>
      </c>
      <c r="E161" s="7" t="s">
        <v>15</v>
      </c>
      <c r="F161" s="7">
        <v>57</v>
      </c>
      <c r="G161" s="15">
        <v>1.62</v>
      </c>
      <c r="H161" s="15">
        <v>2.87</v>
      </c>
      <c r="I161" s="15" t="str">
        <f>IF(Vanzari!$D161="Băuturi alcoolice şi ţigări","ACCIZA","TVA")</f>
        <v>TVA</v>
      </c>
      <c r="J161" s="15">
        <f>IF(Vanzari!$D161="Băuturi alcoolice şi ţigări",Vanzari!$H161*0.05,Vanzari!$H161*0.09)</f>
        <v>0.25829999999999997</v>
      </c>
      <c r="K161" s="15">
        <f>SUM(Vanzari!$H161,Vanzari!$J161)</f>
        <v>3.1283000000000003</v>
      </c>
      <c r="L161" s="15">
        <f>Vanzari!$F161*Vanzari!$G161</f>
        <v>92.34</v>
      </c>
      <c r="M161" s="15">
        <f>Vanzari!$F161*Vanzari!$K161</f>
        <v>178.31310000000002</v>
      </c>
      <c r="N161" s="15" t="str">
        <f>IF(Vanzari!$M161&gt;Vanzari!$L161,"PROFIT","PIERDERE")</f>
        <v>PROFIT</v>
      </c>
      <c r="O161" s="15">
        <f>Vanzari!$M161-Vanzari!$L161</f>
        <v>85.973100000000017</v>
      </c>
      <c r="P161" s="15" cm="1">
        <f t="array" ref="P161">ProfitImpozitat(Vanzari!$O161)</f>
        <v>85.973100000000017</v>
      </c>
    </row>
    <row r="162" spans="1:16" x14ac:dyDescent="0.2">
      <c r="A162" s="14">
        <v>44724</v>
      </c>
      <c r="B162" s="7" t="s">
        <v>1</v>
      </c>
      <c r="C162" s="7" t="s">
        <v>0</v>
      </c>
      <c r="D162" s="7" t="s">
        <v>52</v>
      </c>
      <c r="E162" s="7" t="s">
        <v>14</v>
      </c>
      <c r="F162" s="7">
        <v>73</v>
      </c>
      <c r="G162" s="15">
        <v>0.86</v>
      </c>
      <c r="H162" s="15">
        <v>1.87</v>
      </c>
      <c r="I162" s="15" t="str">
        <f>IF(Vanzari!$D162="Băuturi alcoolice şi ţigări","ACCIZA","TVA")</f>
        <v>TVA</v>
      </c>
      <c r="J162" s="15">
        <f>IF(Vanzari!$D162="Băuturi alcoolice şi ţigări",Vanzari!$H162*0.05,Vanzari!$H162*0.09)</f>
        <v>0.16830000000000001</v>
      </c>
      <c r="K162" s="15">
        <f>SUM(Vanzari!$H162,Vanzari!$J162)</f>
        <v>2.0383</v>
      </c>
      <c r="L162" s="15">
        <f>Vanzari!$F162*Vanzari!$G162</f>
        <v>62.78</v>
      </c>
      <c r="M162" s="15">
        <f>Vanzari!$F162*Vanzari!$K162</f>
        <v>148.79589999999999</v>
      </c>
      <c r="N162" s="15" t="str">
        <f>IF(Vanzari!$M162&gt;Vanzari!$L162,"PROFIT","PIERDERE")</f>
        <v>PROFIT</v>
      </c>
      <c r="O162" s="15">
        <f>Vanzari!$M162-Vanzari!$L162</f>
        <v>86.015899999999988</v>
      </c>
      <c r="P162" s="15" cm="1">
        <f t="array" ref="P162">ProfitImpozitat(Vanzari!$O162)</f>
        <v>86.015899999999988</v>
      </c>
    </row>
    <row r="163" spans="1:16" x14ac:dyDescent="0.2">
      <c r="A163" s="14">
        <v>44320</v>
      </c>
      <c r="B163" s="7" t="s">
        <v>6</v>
      </c>
      <c r="C163" s="7" t="s">
        <v>59</v>
      </c>
      <c r="D163" s="7" t="s">
        <v>52</v>
      </c>
      <c r="E163" s="7" t="s">
        <v>25</v>
      </c>
      <c r="F163" s="7">
        <v>105</v>
      </c>
      <c r="G163" s="15">
        <v>1.52</v>
      </c>
      <c r="H163" s="15">
        <v>2.15</v>
      </c>
      <c r="I163" s="15" t="str">
        <f>IF(Vanzari!$D163="Băuturi alcoolice şi ţigări","ACCIZA","TVA")</f>
        <v>TVA</v>
      </c>
      <c r="J163" s="15">
        <f>IF(Vanzari!$D163="Băuturi alcoolice şi ţigări",Vanzari!$H163*0.05,Vanzari!$H163*0.09)</f>
        <v>0.19349999999999998</v>
      </c>
      <c r="K163" s="15">
        <f>SUM(Vanzari!$H163,Vanzari!$J163)</f>
        <v>2.3434999999999997</v>
      </c>
      <c r="L163" s="15">
        <f>Vanzari!$F163*Vanzari!$G163</f>
        <v>159.6</v>
      </c>
      <c r="M163" s="15">
        <f>Vanzari!$F163*Vanzari!$K163</f>
        <v>246.06749999999997</v>
      </c>
      <c r="N163" s="15" t="str">
        <f>IF(Vanzari!$M163&gt;Vanzari!$L163,"PROFIT","PIERDERE")</f>
        <v>PROFIT</v>
      </c>
      <c r="O163" s="15">
        <f>Vanzari!$M163-Vanzari!$L163</f>
        <v>86.467499999999973</v>
      </c>
      <c r="P163" s="15" cm="1">
        <f t="array" ref="P163">ProfitImpozitat(Vanzari!$O163)</f>
        <v>86.467499999999973</v>
      </c>
    </row>
    <row r="164" spans="1:16" x14ac:dyDescent="0.2">
      <c r="A164" s="14">
        <v>44898</v>
      </c>
      <c r="B164" s="7" t="s">
        <v>1</v>
      </c>
      <c r="C164" s="7" t="s">
        <v>0</v>
      </c>
      <c r="D164" s="7" t="s">
        <v>52</v>
      </c>
      <c r="E164" s="7" t="s">
        <v>2</v>
      </c>
      <c r="F164" s="7">
        <v>420</v>
      </c>
      <c r="G164" s="15">
        <v>6</v>
      </c>
      <c r="H164" s="15">
        <v>5.7</v>
      </c>
      <c r="I164" s="15" t="str">
        <f>IF(Vanzari!$D164="Băuturi alcoolice şi ţigări","ACCIZA","TVA")</f>
        <v>TVA</v>
      </c>
      <c r="J164" s="15">
        <f>IF(Vanzari!$D164="Băuturi alcoolice şi ţigări",Vanzari!$H164*0.05,Vanzari!$H164*0.09)</f>
        <v>0.51300000000000001</v>
      </c>
      <c r="K164" s="15">
        <f>SUM(Vanzari!$H164,Vanzari!$J164)</f>
        <v>6.2130000000000001</v>
      </c>
      <c r="L164" s="15">
        <f>Vanzari!$F164*Vanzari!$G164</f>
        <v>2520</v>
      </c>
      <c r="M164" s="15">
        <f>Vanzari!$F164*Vanzari!$K164</f>
        <v>2609.46</v>
      </c>
      <c r="N164" s="15" t="str">
        <f>IF(Vanzari!$M164&gt;Vanzari!$L164,"PROFIT","PIERDERE")</f>
        <v>PROFIT</v>
      </c>
      <c r="O164" s="15">
        <f>Vanzari!$M164-Vanzari!$L164</f>
        <v>89.460000000000036</v>
      </c>
      <c r="P164" s="15" cm="1">
        <f t="array" ref="P164">ProfitImpozitat(Vanzari!$O164)</f>
        <v>89.460000000000036</v>
      </c>
    </row>
    <row r="165" spans="1:16" x14ac:dyDescent="0.2">
      <c r="A165" s="14">
        <v>44539</v>
      </c>
      <c r="B165" s="7" t="s">
        <v>6</v>
      </c>
      <c r="C165" s="7" t="s">
        <v>59</v>
      </c>
      <c r="D165" s="7" t="s">
        <v>52</v>
      </c>
      <c r="E165" s="7" t="s">
        <v>18</v>
      </c>
      <c r="F165" s="7">
        <v>305</v>
      </c>
      <c r="G165" s="15">
        <v>0.42</v>
      </c>
      <c r="H165" s="15">
        <v>0.67</v>
      </c>
      <c r="I165" s="15" t="str">
        <f>IF(Vanzari!$D165="Băuturi alcoolice şi ţigări","ACCIZA","TVA")</f>
        <v>TVA</v>
      </c>
      <c r="J165" s="15">
        <f>IF(Vanzari!$D165="Băuturi alcoolice şi ţigări",Vanzari!$H165*0.05,Vanzari!$H165*0.09)</f>
        <v>6.0299999999999999E-2</v>
      </c>
      <c r="K165" s="15">
        <f>SUM(Vanzari!$H165,Vanzari!$J165)</f>
        <v>0.73030000000000006</v>
      </c>
      <c r="L165" s="15">
        <f>Vanzari!$F165*Vanzari!$G165</f>
        <v>128.1</v>
      </c>
      <c r="M165" s="15">
        <f>Vanzari!$F165*Vanzari!$K165</f>
        <v>222.74150000000003</v>
      </c>
      <c r="N165" s="15" t="str">
        <f>IF(Vanzari!$M165&gt;Vanzari!$L165,"PROFIT","PIERDERE")</f>
        <v>PROFIT</v>
      </c>
      <c r="O165" s="15">
        <f>Vanzari!$M165-Vanzari!$L165</f>
        <v>94.641500000000036</v>
      </c>
      <c r="P165" s="15" cm="1">
        <f t="array" ref="P165">ProfitImpozitat(Vanzari!$O165)</f>
        <v>94.641500000000036</v>
      </c>
    </row>
    <row r="166" spans="1:16" x14ac:dyDescent="0.2">
      <c r="A166" s="14">
        <v>44437</v>
      </c>
      <c r="B166" s="7" t="s">
        <v>5</v>
      </c>
      <c r="C166" s="7" t="s">
        <v>5</v>
      </c>
      <c r="D166" s="7" t="s">
        <v>52</v>
      </c>
      <c r="E166" s="7" t="s">
        <v>23</v>
      </c>
      <c r="F166" s="7">
        <v>75</v>
      </c>
      <c r="G166" s="15">
        <v>3.29</v>
      </c>
      <c r="H166" s="15">
        <v>4.21</v>
      </c>
      <c r="I166" s="15" t="str">
        <f>IF(Vanzari!$D166="Băuturi alcoolice şi ţigări","ACCIZA","TVA")</f>
        <v>TVA</v>
      </c>
      <c r="J166" s="15">
        <f>IF(Vanzari!$D166="Băuturi alcoolice şi ţigări",Vanzari!$H166*0.05,Vanzari!$H166*0.09)</f>
        <v>0.37889999999999996</v>
      </c>
      <c r="K166" s="15">
        <f>SUM(Vanzari!$H166,Vanzari!$J166)</f>
        <v>4.5888999999999998</v>
      </c>
      <c r="L166" s="15">
        <f>Vanzari!$F166*Vanzari!$G166</f>
        <v>246.75</v>
      </c>
      <c r="M166" s="15">
        <f>Vanzari!$F166*Vanzari!$K166</f>
        <v>344.16749999999996</v>
      </c>
      <c r="N166" s="15" t="str">
        <f>IF(Vanzari!$M166&gt;Vanzari!$L166,"PROFIT","PIERDERE")</f>
        <v>PROFIT</v>
      </c>
      <c r="O166" s="15">
        <f>Vanzari!$M166-Vanzari!$L166</f>
        <v>97.417499999999961</v>
      </c>
      <c r="P166" s="15" cm="1">
        <f t="array" ref="P166">ProfitImpozitat(Vanzari!$O166)</f>
        <v>97.417499999999961</v>
      </c>
    </row>
    <row r="167" spans="1:16" x14ac:dyDescent="0.2">
      <c r="A167" s="14">
        <v>44706</v>
      </c>
      <c r="B167" s="7" t="s">
        <v>5</v>
      </c>
      <c r="C167" s="7" t="s">
        <v>5</v>
      </c>
      <c r="D167" s="7" t="s">
        <v>52</v>
      </c>
      <c r="E167" s="7" t="s">
        <v>14</v>
      </c>
      <c r="F167" s="7">
        <v>84</v>
      </c>
      <c r="G167" s="15">
        <v>0.86</v>
      </c>
      <c r="H167" s="15">
        <v>1.87</v>
      </c>
      <c r="I167" s="15" t="str">
        <f>IF(Vanzari!$D167="Băuturi alcoolice şi ţigări","ACCIZA","TVA")</f>
        <v>TVA</v>
      </c>
      <c r="J167" s="15">
        <f>IF(Vanzari!$D167="Băuturi alcoolice şi ţigări",Vanzari!$H167*0.05,Vanzari!$H167*0.09)</f>
        <v>0.16830000000000001</v>
      </c>
      <c r="K167" s="15">
        <f>SUM(Vanzari!$H167,Vanzari!$J167)</f>
        <v>2.0383</v>
      </c>
      <c r="L167" s="15">
        <f>Vanzari!$F167*Vanzari!$G167</f>
        <v>72.239999999999995</v>
      </c>
      <c r="M167" s="15">
        <f>Vanzari!$F167*Vanzari!$K167</f>
        <v>171.21719999999999</v>
      </c>
      <c r="N167" s="15" t="str">
        <f>IF(Vanzari!$M167&gt;Vanzari!$L167,"PROFIT","PIERDERE")</f>
        <v>PROFIT</v>
      </c>
      <c r="O167" s="15">
        <f>Vanzari!$M167-Vanzari!$L167</f>
        <v>98.977199999999996</v>
      </c>
      <c r="P167" s="15" cm="1">
        <f t="array" ref="P167">ProfitImpozitat(Vanzari!$O167)</f>
        <v>98.977199999999996</v>
      </c>
    </row>
    <row r="168" spans="1:16" x14ac:dyDescent="0.2">
      <c r="A168" s="14">
        <v>44602</v>
      </c>
      <c r="B168" s="7" t="s">
        <v>5</v>
      </c>
      <c r="C168" s="7" t="s">
        <v>5</v>
      </c>
      <c r="D168" s="7" t="s">
        <v>52</v>
      </c>
      <c r="E168" s="7" t="s">
        <v>18</v>
      </c>
      <c r="F168" s="7">
        <v>340</v>
      </c>
      <c r="G168" s="15">
        <v>0.42</v>
      </c>
      <c r="H168" s="15">
        <v>0.67</v>
      </c>
      <c r="I168" s="15" t="str">
        <f>IF(Vanzari!$D168="Băuturi alcoolice şi ţigări","ACCIZA","TVA")</f>
        <v>TVA</v>
      </c>
      <c r="J168" s="15">
        <f>IF(Vanzari!$D168="Băuturi alcoolice şi ţigări",Vanzari!$H168*0.05,Vanzari!$H168*0.09)</f>
        <v>6.0299999999999999E-2</v>
      </c>
      <c r="K168" s="15">
        <f>SUM(Vanzari!$H168,Vanzari!$J168)</f>
        <v>0.73030000000000006</v>
      </c>
      <c r="L168" s="15">
        <f>Vanzari!$F168*Vanzari!$G168</f>
        <v>142.79999999999998</v>
      </c>
      <c r="M168" s="15">
        <f>Vanzari!$F168*Vanzari!$K168</f>
        <v>248.30200000000002</v>
      </c>
      <c r="N168" s="15" t="str">
        <f>IF(Vanzari!$M168&gt;Vanzari!$L168,"PROFIT","PIERDERE")</f>
        <v>PROFIT</v>
      </c>
      <c r="O168" s="15">
        <f>Vanzari!$M168-Vanzari!$L168</f>
        <v>105.50200000000004</v>
      </c>
      <c r="P168" s="15" cm="1">
        <f t="array" ref="P168">ProfitImpozitat(Vanzari!$O168)</f>
        <v>104.44698000000004</v>
      </c>
    </row>
    <row r="169" spans="1:16" x14ac:dyDescent="0.2">
      <c r="A169" s="14">
        <v>44485</v>
      </c>
      <c r="B169" s="7" t="s">
        <v>5</v>
      </c>
      <c r="C169" s="7" t="s">
        <v>5</v>
      </c>
      <c r="D169" s="7" t="s">
        <v>52</v>
      </c>
      <c r="E169" s="7" t="s">
        <v>21</v>
      </c>
      <c r="F169" s="7">
        <v>141</v>
      </c>
      <c r="G169" s="15">
        <v>1.2</v>
      </c>
      <c r="H169" s="15">
        <v>1.87</v>
      </c>
      <c r="I169" s="15" t="str">
        <f>IF(Vanzari!$D169="Băuturi alcoolice şi ţigări","ACCIZA","TVA")</f>
        <v>TVA</v>
      </c>
      <c r="J169" s="15">
        <f>IF(Vanzari!$D169="Băuturi alcoolice şi ţigări",Vanzari!$H169*0.05,Vanzari!$H169*0.09)</f>
        <v>0.16830000000000001</v>
      </c>
      <c r="K169" s="15">
        <f>SUM(Vanzari!$H169,Vanzari!$J169)</f>
        <v>2.0383</v>
      </c>
      <c r="L169" s="15">
        <f>Vanzari!$F169*Vanzari!$G169</f>
        <v>169.2</v>
      </c>
      <c r="M169" s="15">
        <f>Vanzari!$F169*Vanzari!$K169</f>
        <v>287.40030000000002</v>
      </c>
      <c r="N169" s="15" t="str">
        <f>IF(Vanzari!$M169&gt;Vanzari!$L169,"PROFIT","PIERDERE")</f>
        <v>PROFIT</v>
      </c>
      <c r="O169" s="15">
        <f>Vanzari!$M169-Vanzari!$L169</f>
        <v>118.20030000000003</v>
      </c>
      <c r="P169" s="15" cm="1">
        <f t="array" ref="P169">ProfitImpozitat(Vanzari!$O169)</f>
        <v>117.01829700000003</v>
      </c>
    </row>
    <row r="170" spans="1:16" x14ac:dyDescent="0.2">
      <c r="A170" s="14">
        <v>44628</v>
      </c>
      <c r="B170" s="7" t="s">
        <v>60</v>
      </c>
      <c r="C170" s="7" t="s">
        <v>60</v>
      </c>
      <c r="D170" s="7" t="s">
        <v>52</v>
      </c>
      <c r="E170" s="7" t="s">
        <v>15</v>
      </c>
      <c r="F170" s="7">
        <v>86</v>
      </c>
      <c r="G170" s="15">
        <v>1.62</v>
      </c>
      <c r="H170" s="15">
        <v>2.87</v>
      </c>
      <c r="I170" s="15" t="str">
        <f>IF(Vanzari!$D170="Băuturi alcoolice şi ţigări","ACCIZA","TVA")</f>
        <v>TVA</v>
      </c>
      <c r="J170" s="15">
        <f>IF(Vanzari!$D170="Băuturi alcoolice şi ţigări",Vanzari!$H170*0.05,Vanzari!$H170*0.09)</f>
        <v>0.25829999999999997</v>
      </c>
      <c r="K170" s="15">
        <f>SUM(Vanzari!$H170,Vanzari!$J170)</f>
        <v>3.1283000000000003</v>
      </c>
      <c r="L170" s="15">
        <f>Vanzari!$F170*Vanzari!$G170</f>
        <v>139.32000000000002</v>
      </c>
      <c r="M170" s="15">
        <f>Vanzari!$F170*Vanzari!$K170</f>
        <v>269.03380000000004</v>
      </c>
      <c r="N170" s="15" t="str">
        <f>IF(Vanzari!$M170&gt;Vanzari!$L170,"PROFIT","PIERDERE")</f>
        <v>PROFIT</v>
      </c>
      <c r="O170" s="15">
        <f>Vanzari!$M170-Vanzari!$L170</f>
        <v>129.71380000000002</v>
      </c>
      <c r="P170" s="15" cm="1">
        <f t="array" ref="P170">ProfitImpozitat(Vanzari!$O170)</f>
        <v>128.41666200000003</v>
      </c>
    </row>
    <row r="171" spans="1:16" x14ac:dyDescent="0.2">
      <c r="A171" s="14">
        <v>44757</v>
      </c>
      <c r="B171" s="7" t="s">
        <v>60</v>
      </c>
      <c r="C171" s="7" t="s">
        <v>60</v>
      </c>
      <c r="D171" s="7" t="s">
        <v>52</v>
      </c>
      <c r="E171" s="7" t="s">
        <v>12</v>
      </c>
      <c r="F171" s="7">
        <v>260</v>
      </c>
      <c r="G171" s="15">
        <v>0.48</v>
      </c>
      <c r="H171" s="15">
        <v>0.91700000000000004</v>
      </c>
      <c r="I171" s="15" t="str">
        <f>IF(Vanzari!$D171="Băuturi alcoolice şi ţigări","ACCIZA","TVA")</f>
        <v>TVA</v>
      </c>
      <c r="J171" s="15">
        <f>IF(Vanzari!$D171="Băuturi alcoolice şi ţigări",Vanzari!$H171*0.05,Vanzari!$H171*0.09)</f>
        <v>8.2530000000000006E-2</v>
      </c>
      <c r="K171" s="15">
        <f>SUM(Vanzari!$H171,Vanzari!$J171)</f>
        <v>0.99953000000000003</v>
      </c>
      <c r="L171" s="15">
        <f>Vanzari!$F171*Vanzari!$G171</f>
        <v>124.8</v>
      </c>
      <c r="M171" s="15">
        <f>Vanzari!$F171*Vanzari!$K171</f>
        <v>259.87779999999998</v>
      </c>
      <c r="N171" s="15" t="str">
        <f>IF(Vanzari!$M171&gt;Vanzari!$L171,"PROFIT","PIERDERE")</f>
        <v>PROFIT</v>
      </c>
      <c r="O171" s="15">
        <f>Vanzari!$M171-Vanzari!$L171</f>
        <v>135.07779999999997</v>
      </c>
      <c r="P171" s="15" cm="1">
        <f t="array" ref="P171">ProfitImpozitat(Vanzari!$O171)</f>
        <v>133.72702199999998</v>
      </c>
    </row>
    <row r="172" spans="1:16" x14ac:dyDescent="0.2">
      <c r="A172" s="14">
        <v>44661</v>
      </c>
      <c r="B172" s="7" t="s">
        <v>1</v>
      </c>
      <c r="C172" s="7" t="s">
        <v>0</v>
      </c>
      <c r="D172" s="7" t="s">
        <v>52</v>
      </c>
      <c r="E172" s="7" t="s">
        <v>15</v>
      </c>
      <c r="F172" s="7">
        <v>90</v>
      </c>
      <c r="G172" s="15">
        <v>1.62</v>
      </c>
      <c r="H172" s="15">
        <v>2.87</v>
      </c>
      <c r="I172" s="15" t="str">
        <f>IF(Vanzari!$D172="Băuturi alcoolice şi ţigări","ACCIZA","TVA")</f>
        <v>TVA</v>
      </c>
      <c r="J172" s="15">
        <f>IF(Vanzari!$D172="Băuturi alcoolice şi ţigări",Vanzari!$H172*0.05,Vanzari!$H172*0.09)</f>
        <v>0.25829999999999997</v>
      </c>
      <c r="K172" s="15">
        <f>SUM(Vanzari!$H172,Vanzari!$J172)</f>
        <v>3.1283000000000003</v>
      </c>
      <c r="L172" s="15">
        <f>Vanzari!$F172*Vanzari!$G172</f>
        <v>145.80000000000001</v>
      </c>
      <c r="M172" s="15">
        <f>Vanzari!$F172*Vanzari!$K172</f>
        <v>281.54700000000003</v>
      </c>
      <c r="N172" s="15" t="str">
        <f>IF(Vanzari!$M172&gt;Vanzari!$L172,"PROFIT","PIERDERE")</f>
        <v>PROFIT</v>
      </c>
      <c r="O172" s="15">
        <f>Vanzari!$M172-Vanzari!$L172</f>
        <v>135.74700000000001</v>
      </c>
      <c r="P172" s="15" cm="1">
        <f t="array" ref="P172">ProfitImpozitat(Vanzari!$O172)</f>
        <v>134.38953000000001</v>
      </c>
    </row>
    <row r="173" spans="1:16" x14ac:dyDescent="0.2">
      <c r="A173" s="14">
        <v>44428</v>
      </c>
      <c r="B173" s="7" t="s">
        <v>6</v>
      </c>
      <c r="C173" s="7" t="s">
        <v>59</v>
      </c>
      <c r="D173" s="7" t="s">
        <v>52</v>
      </c>
      <c r="E173" s="7" t="s">
        <v>23</v>
      </c>
      <c r="F173" s="7">
        <v>109</v>
      </c>
      <c r="G173" s="15">
        <v>3.29</v>
      </c>
      <c r="H173" s="15">
        <v>4.21</v>
      </c>
      <c r="I173" s="15" t="str">
        <f>IF(Vanzari!$D173="Băuturi alcoolice şi ţigări","ACCIZA","TVA")</f>
        <v>TVA</v>
      </c>
      <c r="J173" s="15">
        <f>IF(Vanzari!$D173="Băuturi alcoolice şi ţigări",Vanzari!$H173*0.05,Vanzari!$H173*0.09)</f>
        <v>0.37889999999999996</v>
      </c>
      <c r="K173" s="15">
        <f>SUM(Vanzari!$H173,Vanzari!$J173)</f>
        <v>4.5888999999999998</v>
      </c>
      <c r="L173" s="15">
        <f>Vanzari!$F173*Vanzari!$G173</f>
        <v>358.61</v>
      </c>
      <c r="M173" s="15">
        <f>Vanzari!$F173*Vanzari!$K173</f>
        <v>500.19009999999997</v>
      </c>
      <c r="N173" s="15" t="str">
        <f>IF(Vanzari!$M173&gt;Vanzari!$L173,"PROFIT","PIERDERE")</f>
        <v>PROFIT</v>
      </c>
      <c r="O173" s="15">
        <f>Vanzari!$M173-Vanzari!$L173</f>
        <v>141.58009999999996</v>
      </c>
      <c r="P173" s="15" cm="1">
        <f t="array" ref="P173">ProfitImpozitat(Vanzari!$O173)</f>
        <v>140.16429899999997</v>
      </c>
    </row>
    <row r="174" spans="1:16" x14ac:dyDescent="0.2">
      <c r="A174" s="14">
        <v>44736</v>
      </c>
      <c r="B174" s="7" t="s">
        <v>6</v>
      </c>
      <c r="C174" s="7" t="s">
        <v>59</v>
      </c>
      <c r="D174" s="7" t="s">
        <v>52</v>
      </c>
      <c r="E174" s="7" t="s">
        <v>12</v>
      </c>
      <c r="F174" s="7">
        <v>275</v>
      </c>
      <c r="G174" s="15">
        <v>0.48</v>
      </c>
      <c r="H174" s="15">
        <v>0.91700000000000004</v>
      </c>
      <c r="I174" s="15" t="str">
        <f>IF(Vanzari!$D174="Băuturi alcoolice şi ţigări","ACCIZA","TVA")</f>
        <v>TVA</v>
      </c>
      <c r="J174" s="15">
        <f>IF(Vanzari!$D174="Băuturi alcoolice şi ţigări",Vanzari!$H174*0.05,Vanzari!$H174*0.09)</f>
        <v>8.2530000000000006E-2</v>
      </c>
      <c r="K174" s="15">
        <f>SUM(Vanzari!$H174,Vanzari!$J174)</f>
        <v>0.99953000000000003</v>
      </c>
      <c r="L174" s="15">
        <f>Vanzari!$F174*Vanzari!$G174</f>
        <v>132</v>
      </c>
      <c r="M174" s="15">
        <f>Vanzari!$F174*Vanzari!$K174</f>
        <v>274.87074999999999</v>
      </c>
      <c r="N174" s="15" t="str">
        <f>IF(Vanzari!$M174&gt;Vanzari!$L174,"PROFIT","PIERDERE")</f>
        <v>PROFIT</v>
      </c>
      <c r="O174" s="15">
        <f>Vanzari!$M174-Vanzari!$L174</f>
        <v>142.87074999999999</v>
      </c>
      <c r="P174" s="15" cm="1">
        <f t="array" ref="P174">ProfitImpozitat(Vanzari!$O174)</f>
        <v>141.44204249999999</v>
      </c>
    </row>
    <row r="175" spans="1:16" x14ac:dyDescent="0.2">
      <c r="A175" s="14">
        <v>44374</v>
      </c>
      <c r="B175" s="7" t="s">
        <v>5</v>
      </c>
      <c r="C175" s="7" t="s">
        <v>5</v>
      </c>
      <c r="D175" s="7" t="s">
        <v>52</v>
      </c>
      <c r="E175" s="7" t="s">
        <v>23</v>
      </c>
      <c r="F175" s="7">
        <v>110</v>
      </c>
      <c r="G175" s="15">
        <v>3.29</v>
      </c>
      <c r="H175" s="15">
        <v>4.21</v>
      </c>
      <c r="I175" s="15" t="str">
        <f>IF(Vanzari!$D175="Băuturi alcoolice şi ţigări","ACCIZA","TVA")</f>
        <v>TVA</v>
      </c>
      <c r="J175" s="15">
        <f>IF(Vanzari!$D175="Băuturi alcoolice şi ţigări",Vanzari!$H175*0.05,Vanzari!$H175*0.09)</f>
        <v>0.37889999999999996</v>
      </c>
      <c r="K175" s="15">
        <f>SUM(Vanzari!$H175,Vanzari!$J175)</f>
        <v>4.5888999999999998</v>
      </c>
      <c r="L175" s="15">
        <f>Vanzari!$F175*Vanzari!$G175</f>
        <v>361.9</v>
      </c>
      <c r="M175" s="15">
        <f>Vanzari!$F175*Vanzari!$K175</f>
        <v>504.779</v>
      </c>
      <c r="N175" s="15" t="str">
        <f>IF(Vanzari!$M175&gt;Vanzari!$L175,"PROFIT","PIERDERE")</f>
        <v>PROFIT</v>
      </c>
      <c r="O175" s="15">
        <f>Vanzari!$M175-Vanzari!$L175</f>
        <v>142.87900000000002</v>
      </c>
      <c r="P175" s="15" cm="1">
        <f t="array" ref="P175">ProfitImpozitat(Vanzari!$O175)</f>
        <v>141.45021000000003</v>
      </c>
    </row>
    <row r="176" spans="1:16" x14ac:dyDescent="0.2">
      <c r="A176" s="14">
        <v>44640</v>
      </c>
      <c r="B176" s="7" t="s">
        <v>1</v>
      </c>
      <c r="C176" s="7" t="s">
        <v>0</v>
      </c>
      <c r="D176" s="7" t="s">
        <v>52</v>
      </c>
      <c r="E176" s="7" t="s">
        <v>15</v>
      </c>
      <c r="F176" s="7">
        <v>103</v>
      </c>
      <c r="G176" s="15">
        <v>1.62</v>
      </c>
      <c r="H176" s="15">
        <v>2.87</v>
      </c>
      <c r="I176" s="15" t="str">
        <f>IF(Vanzari!$D176="Băuturi alcoolice şi ţigări","ACCIZA","TVA")</f>
        <v>TVA</v>
      </c>
      <c r="J176" s="15">
        <f>IF(Vanzari!$D176="Băuturi alcoolice şi ţigări",Vanzari!$H176*0.05,Vanzari!$H176*0.09)</f>
        <v>0.25829999999999997</v>
      </c>
      <c r="K176" s="15">
        <f>SUM(Vanzari!$H176,Vanzari!$J176)</f>
        <v>3.1283000000000003</v>
      </c>
      <c r="L176" s="15">
        <f>Vanzari!$F176*Vanzari!$G176</f>
        <v>166.86</v>
      </c>
      <c r="M176" s="15">
        <f>Vanzari!$F176*Vanzari!$K176</f>
        <v>322.21490000000006</v>
      </c>
      <c r="N176" s="15" t="str">
        <f>IF(Vanzari!$M176&gt;Vanzari!$L176,"PROFIT","PIERDERE")</f>
        <v>PROFIT</v>
      </c>
      <c r="O176" s="15">
        <f>Vanzari!$M176-Vanzari!$L176</f>
        <v>155.35490000000004</v>
      </c>
      <c r="P176" s="15" cm="1">
        <f t="array" ref="P176">ProfitImpozitat(Vanzari!$O176)</f>
        <v>153.80135100000004</v>
      </c>
    </row>
    <row r="177" spans="1:16" x14ac:dyDescent="0.2">
      <c r="A177" s="14">
        <v>44590</v>
      </c>
      <c r="B177" s="7" t="s">
        <v>6</v>
      </c>
      <c r="C177" s="7" t="s">
        <v>59</v>
      </c>
      <c r="D177" s="7" t="s">
        <v>52</v>
      </c>
      <c r="E177" s="7" t="s">
        <v>18</v>
      </c>
      <c r="F177" s="7">
        <v>515</v>
      </c>
      <c r="G177" s="15">
        <v>0.42</v>
      </c>
      <c r="H177" s="15">
        <v>0.67</v>
      </c>
      <c r="I177" s="15" t="str">
        <f>IF(Vanzari!$D177="Băuturi alcoolice şi ţigări","ACCIZA","TVA")</f>
        <v>TVA</v>
      </c>
      <c r="J177" s="15">
        <f>IF(Vanzari!$D177="Băuturi alcoolice şi ţigări",Vanzari!$H177*0.05,Vanzari!$H177*0.09)</f>
        <v>6.0299999999999999E-2</v>
      </c>
      <c r="K177" s="15">
        <f>SUM(Vanzari!$H177,Vanzari!$J177)</f>
        <v>0.73030000000000006</v>
      </c>
      <c r="L177" s="15">
        <f>Vanzari!$F177*Vanzari!$G177</f>
        <v>216.29999999999998</v>
      </c>
      <c r="M177" s="15">
        <f>Vanzari!$F177*Vanzari!$K177</f>
        <v>376.10450000000003</v>
      </c>
      <c r="N177" s="15" t="str">
        <f>IF(Vanzari!$M177&gt;Vanzari!$L177,"PROFIT","PIERDERE")</f>
        <v>PROFIT</v>
      </c>
      <c r="O177" s="15">
        <f>Vanzari!$M177-Vanzari!$L177</f>
        <v>159.80450000000005</v>
      </c>
      <c r="P177" s="15" cm="1">
        <f t="array" ref="P177">ProfitImpozitat(Vanzari!$O177)</f>
        <v>158.20645500000003</v>
      </c>
    </row>
    <row r="178" spans="1:16" x14ac:dyDescent="0.2">
      <c r="A178" s="14">
        <v>44239</v>
      </c>
      <c r="B178" s="7" t="s">
        <v>5</v>
      </c>
      <c r="C178" s="7" t="s">
        <v>5</v>
      </c>
      <c r="D178" s="7" t="s">
        <v>52</v>
      </c>
      <c r="E178" s="7" t="s">
        <v>28</v>
      </c>
      <c r="F178" s="7">
        <v>325</v>
      </c>
      <c r="G178" s="15">
        <v>2.2000000000000002</v>
      </c>
      <c r="H178" s="15">
        <v>2.4700000000000002</v>
      </c>
      <c r="I178" s="15" t="str">
        <f>IF(Vanzari!$D178="Băuturi alcoolice şi ţigări","ACCIZA","TVA")</f>
        <v>TVA</v>
      </c>
      <c r="J178" s="15">
        <f>IF(Vanzari!$D178="Băuturi alcoolice şi ţigări",Vanzari!$H178*0.05,Vanzari!$H178*0.09)</f>
        <v>0.2223</v>
      </c>
      <c r="K178" s="15">
        <f>SUM(Vanzari!$H178,Vanzari!$J178)</f>
        <v>2.6923000000000004</v>
      </c>
      <c r="L178" s="15">
        <f>Vanzari!$F178*Vanzari!$G178</f>
        <v>715.00000000000011</v>
      </c>
      <c r="M178" s="15">
        <f>Vanzari!$F178*Vanzari!$K178</f>
        <v>874.99750000000017</v>
      </c>
      <c r="N178" s="15" t="str">
        <f>IF(Vanzari!$M178&gt;Vanzari!$L178,"PROFIT","PIERDERE")</f>
        <v>PROFIT</v>
      </c>
      <c r="O178" s="15">
        <f>Vanzari!$M178-Vanzari!$L178</f>
        <v>159.99750000000006</v>
      </c>
      <c r="P178" s="15" cm="1">
        <f t="array" ref="P178">ProfitImpozitat(Vanzari!$O178)</f>
        <v>158.39752500000006</v>
      </c>
    </row>
    <row r="179" spans="1:16" x14ac:dyDescent="0.2">
      <c r="A179" s="14">
        <v>44197</v>
      </c>
      <c r="B179" s="7" t="s">
        <v>6</v>
      </c>
      <c r="C179" s="7" t="s">
        <v>59</v>
      </c>
      <c r="D179" s="7" t="s">
        <v>52</v>
      </c>
      <c r="E179" s="7" t="s">
        <v>28</v>
      </c>
      <c r="F179" s="7">
        <v>330</v>
      </c>
      <c r="G179" s="15">
        <v>2.2000000000000002</v>
      </c>
      <c r="H179" s="15">
        <v>2.4700000000000002</v>
      </c>
      <c r="I179" s="15" t="str">
        <f>IF(Vanzari!$D179="Băuturi alcoolice şi ţigări","ACCIZA","TVA")</f>
        <v>TVA</v>
      </c>
      <c r="J179" s="15">
        <f>IF(Vanzari!$D179="Băuturi alcoolice şi ţigări",Vanzari!$H179*0.05,Vanzari!$H179*0.09)</f>
        <v>0.2223</v>
      </c>
      <c r="K179" s="15">
        <f>SUM(Vanzari!$H179,Vanzari!$J179)</f>
        <v>2.6923000000000004</v>
      </c>
      <c r="L179" s="15">
        <f>Vanzari!$F179*Vanzari!$G179</f>
        <v>726.00000000000011</v>
      </c>
      <c r="M179" s="15">
        <f>Vanzari!$F179*Vanzari!$K179</f>
        <v>888.45900000000017</v>
      </c>
      <c r="N179" s="15" t="str">
        <f>IF(Vanzari!$M179&gt;Vanzari!$L179,"PROFIT","PIERDERE")</f>
        <v>PROFIT</v>
      </c>
      <c r="O179" s="15">
        <f>Vanzari!$M179-Vanzari!$L179</f>
        <v>162.45900000000006</v>
      </c>
      <c r="P179" s="15" cm="1">
        <f t="array" ref="P179">ProfitImpozitat(Vanzari!$O179)</f>
        <v>160.83441000000005</v>
      </c>
    </row>
    <row r="180" spans="1:16" x14ac:dyDescent="0.2">
      <c r="A180" s="14">
        <v>44308</v>
      </c>
      <c r="B180" s="7" t="s">
        <v>1</v>
      </c>
      <c r="C180" s="7" t="s">
        <v>0</v>
      </c>
      <c r="D180" s="7" t="s">
        <v>52</v>
      </c>
      <c r="E180" s="7" t="s">
        <v>25</v>
      </c>
      <c r="F180" s="7">
        <v>205</v>
      </c>
      <c r="G180" s="15">
        <v>1.52</v>
      </c>
      <c r="H180" s="15">
        <v>2.15</v>
      </c>
      <c r="I180" s="15" t="str">
        <f>IF(Vanzari!$D180="Băuturi alcoolice şi ţigări","ACCIZA","TVA")</f>
        <v>TVA</v>
      </c>
      <c r="J180" s="15">
        <f>IF(Vanzari!$D180="Băuturi alcoolice şi ţigări",Vanzari!$H180*0.05,Vanzari!$H180*0.09)</f>
        <v>0.19349999999999998</v>
      </c>
      <c r="K180" s="15">
        <f>SUM(Vanzari!$H180,Vanzari!$J180)</f>
        <v>2.3434999999999997</v>
      </c>
      <c r="L180" s="15">
        <f>Vanzari!$F180*Vanzari!$G180</f>
        <v>311.60000000000002</v>
      </c>
      <c r="M180" s="15">
        <f>Vanzari!$F180*Vanzari!$K180</f>
        <v>480.41749999999996</v>
      </c>
      <c r="N180" s="15" t="str">
        <f>IF(Vanzari!$M180&gt;Vanzari!$L180,"PROFIT","PIERDERE")</f>
        <v>PROFIT</v>
      </c>
      <c r="O180" s="15">
        <f>Vanzari!$M180-Vanzari!$L180</f>
        <v>168.81749999999994</v>
      </c>
      <c r="P180" s="15" cm="1">
        <f t="array" ref="P180">ProfitImpozitat(Vanzari!$O180)</f>
        <v>167.12932499999994</v>
      </c>
    </row>
    <row r="181" spans="1:16" x14ac:dyDescent="0.2">
      <c r="A181" s="14">
        <v>44491</v>
      </c>
      <c r="B181" s="7" t="s">
        <v>60</v>
      </c>
      <c r="C181" s="7" t="s">
        <v>60</v>
      </c>
      <c r="D181" s="7" t="s">
        <v>52</v>
      </c>
      <c r="E181" s="7" t="s">
        <v>21</v>
      </c>
      <c r="F181" s="7">
        <v>205</v>
      </c>
      <c r="G181" s="15">
        <v>1.2</v>
      </c>
      <c r="H181" s="15">
        <v>1.87</v>
      </c>
      <c r="I181" s="15" t="str">
        <f>IF(Vanzari!$D181="Băuturi alcoolice şi ţigări","ACCIZA","TVA")</f>
        <v>TVA</v>
      </c>
      <c r="J181" s="15">
        <f>IF(Vanzari!$D181="Băuturi alcoolice şi ţigări",Vanzari!$H181*0.05,Vanzari!$H181*0.09)</f>
        <v>0.16830000000000001</v>
      </c>
      <c r="K181" s="15">
        <f>SUM(Vanzari!$H181,Vanzari!$J181)</f>
        <v>2.0383</v>
      </c>
      <c r="L181" s="15">
        <f>Vanzari!$F181*Vanzari!$G181</f>
        <v>246</v>
      </c>
      <c r="M181" s="15">
        <f>Vanzari!$F181*Vanzari!$K181</f>
        <v>417.85149999999999</v>
      </c>
      <c r="N181" s="15" t="str">
        <f>IF(Vanzari!$M181&gt;Vanzari!$L181,"PROFIT","PIERDERE")</f>
        <v>PROFIT</v>
      </c>
      <c r="O181" s="15">
        <f>Vanzari!$M181-Vanzari!$L181</f>
        <v>171.85149999999999</v>
      </c>
      <c r="P181" s="15" cm="1">
        <f t="array" ref="P181">ProfitImpozitat(Vanzari!$O181)</f>
        <v>170.13298499999999</v>
      </c>
    </row>
    <row r="182" spans="1:16" x14ac:dyDescent="0.2">
      <c r="A182" s="14">
        <v>44455</v>
      </c>
      <c r="B182" s="7" t="s">
        <v>1</v>
      </c>
      <c r="C182" s="7" t="s">
        <v>0</v>
      </c>
      <c r="D182" s="7" t="s">
        <v>52</v>
      </c>
      <c r="E182" s="7" t="s">
        <v>23</v>
      </c>
      <c r="F182" s="7">
        <v>133</v>
      </c>
      <c r="G182" s="15">
        <v>3.29</v>
      </c>
      <c r="H182" s="15">
        <v>4.21</v>
      </c>
      <c r="I182" s="15" t="str">
        <f>IF(Vanzari!$D182="Băuturi alcoolice şi ţigări","ACCIZA","TVA")</f>
        <v>TVA</v>
      </c>
      <c r="J182" s="15">
        <f>IF(Vanzari!$D182="Băuturi alcoolice şi ţigări",Vanzari!$H182*0.05,Vanzari!$H182*0.09)</f>
        <v>0.37889999999999996</v>
      </c>
      <c r="K182" s="15">
        <f>SUM(Vanzari!$H182,Vanzari!$J182)</f>
        <v>4.5888999999999998</v>
      </c>
      <c r="L182" s="15">
        <f>Vanzari!$F182*Vanzari!$G182</f>
        <v>437.57</v>
      </c>
      <c r="M182" s="15">
        <f>Vanzari!$F182*Vanzari!$K182</f>
        <v>610.32369999999992</v>
      </c>
      <c r="N182" s="15" t="str">
        <f>IF(Vanzari!$M182&gt;Vanzari!$L182,"PROFIT","PIERDERE")</f>
        <v>PROFIT</v>
      </c>
      <c r="O182" s="15">
        <f>Vanzari!$M182-Vanzari!$L182</f>
        <v>172.75369999999992</v>
      </c>
      <c r="P182" s="15" cm="1">
        <f t="array" ref="P182">ProfitImpozitat(Vanzari!$O182)</f>
        <v>171.02616299999991</v>
      </c>
    </row>
    <row r="183" spans="1:16" x14ac:dyDescent="0.2">
      <c r="A183" s="14">
        <v>44386</v>
      </c>
      <c r="B183" s="7" t="s">
        <v>6</v>
      </c>
      <c r="C183" s="7" t="s">
        <v>59</v>
      </c>
      <c r="D183" s="7" t="s">
        <v>52</v>
      </c>
      <c r="E183" s="7" t="s">
        <v>23</v>
      </c>
      <c r="F183" s="7">
        <v>136</v>
      </c>
      <c r="G183" s="15">
        <v>3.29</v>
      </c>
      <c r="H183" s="15">
        <v>4.21</v>
      </c>
      <c r="I183" s="15" t="str">
        <f>IF(Vanzari!$D183="Băuturi alcoolice şi ţigări","ACCIZA","TVA")</f>
        <v>TVA</v>
      </c>
      <c r="J183" s="15">
        <f>IF(Vanzari!$D183="Băuturi alcoolice şi ţigări",Vanzari!$H183*0.05,Vanzari!$H183*0.09)</f>
        <v>0.37889999999999996</v>
      </c>
      <c r="K183" s="15">
        <f>SUM(Vanzari!$H183,Vanzari!$J183)</f>
        <v>4.5888999999999998</v>
      </c>
      <c r="L183" s="15">
        <f>Vanzari!$F183*Vanzari!$G183</f>
        <v>447.44</v>
      </c>
      <c r="M183" s="15">
        <f>Vanzari!$F183*Vanzari!$K183</f>
        <v>624.09039999999993</v>
      </c>
      <c r="N183" s="15" t="str">
        <f>IF(Vanzari!$M183&gt;Vanzari!$L183,"PROFIT","PIERDERE")</f>
        <v>PROFIT</v>
      </c>
      <c r="O183" s="15">
        <f>Vanzari!$M183-Vanzari!$L183</f>
        <v>176.65039999999993</v>
      </c>
      <c r="P183" s="15" cm="1">
        <f t="array" ref="P183">ProfitImpozitat(Vanzari!$O183)</f>
        <v>174.88389599999994</v>
      </c>
    </row>
    <row r="184" spans="1:16" x14ac:dyDescent="0.2">
      <c r="A184" s="14">
        <v>44871</v>
      </c>
      <c r="B184" s="7" t="s">
        <v>6</v>
      </c>
      <c r="C184" s="7" t="s">
        <v>59</v>
      </c>
      <c r="D184" s="7" t="s">
        <v>52</v>
      </c>
      <c r="E184" s="7" t="s">
        <v>2</v>
      </c>
      <c r="F184" s="7">
        <v>835</v>
      </c>
      <c r="G184" s="15">
        <v>6</v>
      </c>
      <c r="H184" s="15">
        <v>5.7</v>
      </c>
      <c r="I184" s="15" t="str">
        <f>IF(Vanzari!$D184="Băuturi alcoolice şi ţigări","ACCIZA","TVA")</f>
        <v>TVA</v>
      </c>
      <c r="J184" s="15">
        <f>IF(Vanzari!$D184="Băuturi alcoolice şi ţigări",Vanzari!$H184*0.05,Vanzari!$H184*0.09)</f>
        <v>0.51300000000000001</v>
      </c>
      <c r="K184" s="15">
        <f>SUM(Vanzari!$H184,Vanzari!$J184)</f>
        <v>6.2130000000000001</v>
      </c>
      <c r="L184" s="15">
        <f>Vanzari!$F184*Vanzari!$G184</f>
        <v>5010</v>
      </c>
      <c r="M184" s="15">
        <f>Vanzari!$F184*Vanzari!$K184</f>
        <v>5187.8550000000005</v>
      </c>
      <c r="N184" s="15" t="str">
        <f>IF(Vanzari!$M184&gt;Vanzari!$L184,"PROFIT","PIERDERE")</f>
        <v>PROFIT</v>
      </c>
      <c r="O184" s="15">
        <f>Vanzari!$M184-Vanzari!$L184</f>
        <v>177.85500000000047</v>
      </c>
      <c r="P184" s="15" cm="1">
        <f t="array" ref="P184">ProfitImpozitat(Vanzari!$O184)</f>
        <v>176.07645000000048</v>
      </c>
    </row>
    <row r="185" spans="1:16" x14ac:dyDescent="0.2">
      <c r="A185" s="14">
        <v>44652</v>
      </c>
      <c r="B185" s="7" t="s">
        <v>60</v>
      </c>
      <c r="C185" s="7" t="s">
        <v>60</v>
      </c>
      <c r="D185" s="7" t="s">
        <v>52</v>
      </c>
      <c r="E185" s="7" t="s">
        <v>15</v>
      </c>
      <c r="F185" s="7">
        <v>118</v>
      </c>
      <c r="G185" s="15">
        <v>1.62</v>
      </c>
      <c r="H185" s="15">
        <v>2.87</v>
      </c>
      <c r="I185" s="15" t="str">
        <f>IF(Vanzari!$D185="Băuturi alcoolice şi ţigări","ACCIZA","TVA")</f>
        <v>TVA</v>
      </c>
      <c r="J185" s="15">
        <f>IF(Vanzari!$D185="Băuturi alcoolice şi ţigări",Vanzari!$H185*0.05,Vanzari!$H185*0.09)</f>
        <v>0.25829999999999997</v>
      </c>
      <c r="K185" s="15">
        <f>SUM(Vanzari!$H185,Vanzari!$J185)</f>
        <v>3.1283000000000003</v>
      </c>
      <c r="L185" s="15">
        <f>Vanzari!$F185*Vanzari!$G185</f>
        <v>191.16000000000003</v>
      </c>
      <c r="M185" s="15">
        <f>Vanzari!$F185*Vanzari!$K185</f>
        <v>369.13940000000002</v>
      </c>
      <c r="N185" s="15" t="str">
        <f>IF(Vanzari!$M185&gt;Vanzari!$L185,"PROFIT","PIERDERE")</f>
        <v>PROFIT</v>
      </c>
      <c r="O185" s="15">
        <f>Vanzari!$M185-Vanzari!$L185</f>
        <v>177.9794</v>
      </c>
      <c r="P185" s="15" cm="1">
        <f t="array" ref="P185">ProfitImpozitat(Vanzari!$O185)</f>
        <v>176.19960599999999</v>
      </c>
    </row>
    <row r="186" spans="1:16" x14ac:dyDescent="0.2">
      <c r="A186" s="14">
        <v>44449</v>
      </c>
      <c r="B186" s="7" t="s">
        <v>6</v>
      </c>
      <c r="C186" s="7" t="s">
        <v>59</v>
      </c>
      <c r="D186" s="7" t="s">
        <v>52</v>
      </c>
      <c r="E186" s="7" t="s">
        <v>23</v>
      </c>
      <c r="F186" s="7">
        <v>143</v>
      </c>
      <c r="G186" s="15">
        <v>3.29</v>
      </c>
      <c r="H186" s="15">
        <v>4.21</v>
      </c>
      <c r="I186" s="15" t="str">
        <f>IF(Vanzari!$D186="Băuturi alcoolice şi ţigări","ACCIZA","TVA")</f>
        <v>TVA</v>
      </c>
      <c r="J186" s="15">
        <f>IF(Vanzari!$D186="Băuturi alcoolice şi ţigări",Vanzari!$H186*0.05,Vanzari!$H186*0.09)</f>
        <v>0.37889999999999996</v>
      </c>
      <c r="K186" s="15">
        <f>SUM(Vanzari!$H186,Vanzari!$J186)</f>
        <v>4.5888999999999998</v>
      </c>
      <c r="L186" s="15">
        <f>Vanzari!$F186*Vanzari!$G186</f>
        <v>470.47</v>
      </c>
      <c r="M186" s="15">
        <f>Vanzari!$F186*Vanzari!$K186</f>
        <v>656.21269999999993</v>
      </c>
      <c r="N186" s="15" t="str">
        <f>IF(Vanzari!$M186&gt;Vanzari!$L186,"PROFIT","PIERDERE")</f>
        <v>PROFIT</v>
      </c>
      <c r="O186" s="15">
        <f>Vanzari!$M186-Vanzari!$L186</f>
        <v>185.7426999999999</v>
      </c>
      <c r="P186" s="15" cm="1">
        <f t="array" ref="P186">ProfitImpozitat(Vanzari!$O186)</f>
        <v>183.8852729999999</v>
      </c>
    </row>
    <row r="187" spans="1:16" x14ac:dyDescent="0.2">
      <c r="A187" s="14">
        <v>44326</v>
      </c>
      <c r="B187" s="7" t="s">
        <v>1</v>
      </c>
      <c r="C187" s="7" t="s">
        <v>0</v>
      </c>
      <c r="D187" s="7" t="s">
        <v>52</v>
      </c>
      <c r="E187" s="7" t="s">
        <v>25</v>
      </c>
      <c r="F187" s="7">
        <v>250</v>
      </c>
      <c r="G187" s="15">
        <v>1.52</v>
      </c>
      <c r="H187" s="15">
        <v>2.15</v>
      </c>
      <c r="I187" s="15" t="str">
        <f>IF(Vanzari!$D187="Băuturi alcoolice şi ţigări","ACCIZA","TVA")</f>
        <v>TVA</v>
      </c>
      <c r="J187" s="15">
        <f>IF(Vanzari!$D187="Băuturi alcoolice şi ţigări",Vanzari!$H187*0.05,Vanzari!$H187*0.09)</f>
        <v>0.19349999999999998</v>
      </c>
      <c r="K187" s="15">
        <f>SUM(Vanzari!$H187,Vanzari!$J187)</f>
        <v>2.3434999999999997</v>
      </c>
      <c r="L187" s="15">
        <f>Vanzari!$F187*Vanzari!$G187</f>
        <v>380</v>
      </c>
      <c r="M187" s="15">
        <f>Vanzari!$F187*Vanzari!$K187</f>
        <v>585.87499999999989</v>
      </c>
      <c r="N187" s="15" t="str">
        <f>IF(Vanzari!$M187&gt;Vanzari!$L187,"PROFIT","PIERDERE")</f>
        <v>PROFIT</v>
      </c>
      <c r="O187" s="15">
        <f>Vanzari!$M187-Vanzari!$L187</f>
        <v>205.87499999999989</v>
      </c>
      <c r="P187" s="15" cm="1">
        <f t="array" ref="P187">ProfitImpozitat(Vanzari!$O187)</f>
        <v>203.81624999999988</v>
      </c>
    </row>
    <row r="188" spans="1:16" x14ac:dyDescent="0.2">
      <c r="A188" s="14">
        <v>44236</v>
      </c>
      <c r="B188" s="7" t="s">
        <v>1</v>
      </c>
      <c r="C188" s="7" t="s">
        <v>0</v>
      </c>
      <c r="D188" s="7" t="s">
        <v>52</v>
      </c>
      <c r="E188" s="7" t="s">
        <v>28</v>
      </c>
      <c r="F188" s="7">
        <v>440</v>
      </c>
      <c r="G188" s="15">
        <v>2.2000000000000002</v>
      </c>
      <c r="H188" s="15">
        <v>2.4700000000000002</v>
      </c>
      <c r="I188" s="15" t="str">
        <f>IF(Vanzari!$D188="Băuturi alcoolice şi ţigări","ACCIZA","TVA")</f>
        <v>TVA</v>
      </c>
      <c r="J188" s="15">
        <f>IF(Vanzari!$D188="Băuturi alcoolice şi ţigări",Vanzari!$H188*0.05,Vanzari!$H188*0.09)</f>
        <v>0.2223</v>
      </c>
      <c r="K188" s="15">
        <f>SUM(Vanzari!$H188,Vanzari!$J188)</f>
        <v>2.6923000000000004</v>
      </c>
      <c r="L188" s="15">
        <f>Vanzari!$F188*Vanzari!$G188</f>
        <v>968.00000000000011</v>
      </c>
      <c r="M188" s="15">
        <f>Vanzari!$F188*Vanzari!$K188</f>
        <v>1184.6120000000001</v>
      </c>
      <c r="N188" s="15" t="str">
        <f>IF(Vanzari!$M188&gt;Vanzari!$L188,"PROFIT","PIERDERE")</f>
        <v>PROFIT</v>
      </c>
      <c r="O188" s="15">
        <f>Vanzari!$M188-Vanzari!$L188</f>
        <v>216.61199999999997</v>
      </c>
      <c r="P188" s="15" cm="1">
        <f t="array" ref="P188">ProfitImpozitat(Vanzari!$O188)</f>
        <v>214.44587999999996</v>
      </c>
    </row>
    <row r="189" spans="1:16" x14ac:dyDescent="0.2">
      <c r="A189" s="14">
        <v>44272</v>
      </c>
      <c r="B189" s="7" t="s">
        <v>5</v>
      </c>
      <c r="C189" s="7" t="s">
        <v>5</v>
      </c>
      <c r="D189" s="7" t="s">
        <v>52</v>
      </c>
      <c r="E189" s="7" t="s">
        <v>27</v>
      </c>
      <c r="F189" s="7">
        <v>380</v>
      </c>
      <c r="G189" s="15">
        <v>0.31</v>
      </c>
      <c r="H189" s="15">
        <v>0.87</v>
      </c>
      <c r="I189" s="15" t="str">
        <f>IF(Vanzari!$D189="Băuturi alcoolice şi ţigări","ACCIZA","TVA")</f>
        <v>TVA</v>
      </c>
      <c r="J189" s="15">
        <f>IF(Vanzari!$D189="Băuturi alcoolice şi ţigări",Vanzari!$H189*0.05,Vanzari!$H189*0.09)</f>
        <v>7.8299999999999995E-2</v>
      </c>
      <c r="K189" s="15">
        <f>SUM(Vanzari!$H189,Vanzari!$J189)</f>
        <v>0.94830000000000003</v>
      </c>
      <c r="L189" s="15">
        <f>Vanzari!$F189*Vanzari!$G189</f>
        <v>117.8</v>
      </c>
      <c r="M189" s="15">
        <f>Vanzari!$F189*Vanzari!$K189</f>
        <v>360.35399999999998</v>
      </c>
      <c r="N189" s="15" t="str">
        <f>IF(Vanzari!$M189&gt;Vanzari!$L189,"PROFIT","PIERDERE")</f>
        <v>PROFIT</v>
      </c>
      <c r="O189" s="15">
        <f>Vanzari!$M189-Vanzari!$L189</f>
        <v>242.55399999999997</v>
      </c>
      <c r="P189" s="15" cm="1">
        <f t="array" ref="P189">ProfitImpozitat(Vanzari!$O189)</f>
        <v>240.12845999999996</v>
      </c>
    </row>
    <row r="190" spans="1:16" x14ac:dyDescent="0.2">
      <c r="A190" s="14">
        <v>44218</v>
      </c>
      <c r="B190" s="7" t="s">
        <v>1</v>
      </c>
      <c r="C190" s="7" t="s">
        <v>0</v>
      </c>
      <c r="D190" s="7" t="s">
        <v>52</v>
      </c>
      <c r="E190" s="7" t="s">
        <v>28</v>
      </c>
      <c r="F190" s="7">
        <v>510</v>
      </c>
      <c r="G190" s="15">
        <v>2.2000000000000002</v>
      </c>
      <c r="H190" s="15">
        <v>2.4700000000000002</v>
      </c>
      <c r="I190" s="15" t="str">
        <f>IF(Vanzari!$D190="Băuturi alcoolice şi ţigări","ACCIZA","TVA")</f>
        <v>TVA</v>
      </c>
      <c r="J190" s="15">
        <f>IF(Vanzari!$D190="Băuturi alcoolice şi ţigări",Vanzari!$H190*0.05,Vanzari!$H190*0.09)</f>
        <v>0.2223</v>
      </c>
      <c r="K190" s="15">
        <f>SUM(Vanzari!$H190,Vanzari!$J190)</f>
        <v>2.6923000000000004</v>
      </c>
      <c r="L190" s="15">
        <f>Vanzari!$F190*Vanzari!$G190</f>
        <v>1122</v>
      </c>
      <c r="M190" s="15">
        <f>Vanzari!$F190*Vanzari!$K190</f>
        <v>1373.0730000000001</v>
      </c>
      <c r="N190" s="15" t="str">
        <f>IF(Vanzari!$M190&gt;Vanzari!$L190,"PROFIT","PIERDERE")</f>
        <v>PROFIT</v>
      </c>
      <c r="O190" s="15">
        <f>Vanzari!$M190-Vanzari!$L190</f>
        <v>251.07300000000009</v>
      </c>
      <c r="P190" s="15" cm="1">
        <f t="array" ref="P190">ProfitImpozitat(Vanzari!$O190)</f>
        <v>248.5622700000001</v>
      </c>
    </row>
    <row r="191" spans="1:16" x14ac:dyDescent="0.2">
      <c r="A191" s="14">
        <v>44524</v>
      </c>
      <c r="B191" s="7" t="s">
        <v>1</v>
      </c>
      <c r="C191" s="7" t="s">
        <v>0</v>
      </c>
      <c r="D191" s="7" t="s">
        <v>52</v>
      </c>
      <c r="E191" s="7" t="s">
        <v>21</v>
      </c>
      <c r="F191" s="7">
        <v>300</v>
      </c>
      <c r="G191" s="15">
        <v>1.2</v>
      </c>
      <c r="H191" s="15">
        <v>1.87</v>
      </c>
      <c r="I191" s="15" t="str">
        <f>IF(Vanzari!$D191="Băuturi alcoolice şi ţigări","ACCIZA","TVA")</f>
        <v>TVA</v>
      </c>
      <c r="J191" s="15">
        <f>IF(Vanzari!$D191="Băuturi alcoolice şi ţigări",Vanzari!$H191*0.05,Vanzari!$H191*0.09)</f>
        <v>0.16830000000000001</v>
      </c>
      <c r="K191" s="15">
        <f>SUM(Vanzari!$H191,Vanzari!$J191)</f>
        <v>2.0383</v>
      </c>
      <c r="L191" s="15">
        <f>Vanzari!$F191*Vanzari!$G191</f>
        <v>360</v>
      </c>
      <c r="M191" s="15">
        <f>Vanzari!$F191*Vanzari!$K191</f>
        <v>611.49</v>
      </c>
      <c r="N191" s="15" t="str">
        <f>IF(Vanzari!$M191&gt;Vanzari!$L191,"PROFIT","PIERDERE")</f>
        <v>PROFIT</v>
      </c>
      <c r="O191" s="15">
        <f>Vanzari!$M191-Vanzari!$L191</f>
        <v>251.49</v>
      </c>
      <c r="P191" s="15" cm="1">
        <f t="array" ref="P191">ProfitImpozitat(Vanzari!$O191)</f>
        <v>248.9751</v>
      </c>
    </row>
    <row r="192" spans="1:16" x14ac:dyDescent="0.2">
      <c r="A192" s="14">
        <v>44212</v>
      </c>
      <c r="B192" s="7" t="s">
        <v>6</v>
      </c>
      <c r="C192" s="7" t="s">
        <v>59</v>
      </c>
      <c r="D192" s="7" t="s">
        <v>52</v>
      </c>
      <c r="E192" s="7" t="s">
        <v>28</v>
      </c>
      <c r="F192" s="7">
        <v>540</v>
      </c>
      <c r="G192" s="15">
        <v>2.2000000000000002</v>
      </c>
      <c r="H192" s="15">
        <v>2.4700000000000002</v>
      </c>
      <c r="I192" s="15" t="str">
        <f>IF(Vanzari!$D192="Băuturi alcoolice şi ţigări","ACCIZA","TVA")</f>
        <v>TVA</v>
      </c>
      <c r="J192" s="15">
        <f>IF(Vanzari!$D192="Băuturi alcoolice şi ţigări",Vanzari!$H192*0.05,Vanzari!$H192*0.09)</f>
        <v>0.2223</v>
      </c>
      <c r="K192" s="15">
        <f>SUM(Vanzari!$H192,Vanzari!$J192)</f>
        <v>2.6923000000000004</v>
      </c>
      <c r="L192" s="15">
        <f>Vanzari!$F192*Vanzari!$G192</f>
        <v>1188</v>
      </c>
      <c r="M192" s="15">
        <f>Vanzari!$F192*Vanzari!$K192</f>
        <v>1453.8420000000001</v>
      </c>
      <c r="N192" s="15" t="str">
        <f>IF(Vanzari!$M192&gt;Vanzari!$L192,"PROFIT","PIERDERE")</f>
        <v>PROFIT</v>
      </c>
      <c r="O192" s="15">
        <f>Vanzari!$M192-Vanzari!$L192</f>
        <v>265.8420000000001</v>
      </c>
      <c r="P192" s="15" cm="1">
        <f t="array" ref="P192">ProfitImpozitat(Vanzari!$O192)</f>
        <v>263.18358000000012</v>
      </c>
    </row>
    <row r="193" spans="1:16" x14ac:dyDescent="0.2">
      <c r="A193" s="14">
        <v>44251</v>
      </c>
      <c r="B193" s="7" t="s">
        <v>1</v>
      </c>
      <c r="C193" s="7" t="s">
        <v>0</v>
      </c>
      <c r="D193" s="7" t="s">
        <v>52</v>
      </c>
      <c r="E193" s="7" t="s">
        <v>27</v>
      </c>
      <c r="F193" s="7">
        <v>420</v>
      </c>
      <c r="G193" s="15">
        <v>0.31</v>
      </c>
      <c r="H193" s="15">
        <v>0.87</v>
      </c>
      <c r="I193" s="15" t="str">
        <f>IF(Vanzari!$D193="Băuturi alcoolice şi ţigări","ACCIZA","TVA")</f>
        <v>TVA</v>
      </c>
      <c r="J193" s="15">
        <f>IF(Vanzari!$D193="Băuturi alcoolice şi ţigări",Vanzari!$H193*0.05,Vanzari!$H193*0.09)</f>
        <v>7.8299999999999995E-2</v>
      </c>
      <c r="K193" s="15">
        <f>SUM(Vanzari!$H193,Vanzari!$J193)</f>
        <v>0.94830000000000003</v>
      </c>
      <c r="L193" s="15">
        <f>Vanzari!$F193*Vanzari!$G193</f>
        <v>130.19999999999999</v>
      </c>
      <c r="M193" s="15">
        <f>Vanzari!$F193*Vanzari!$K193</f>
        <v>398.286</v>
      </c>
      <c r="N193" s="15" t="str">
        <f>IF(Vanzari!$M193&gt;Vanzari!$L193,"PROFIT","PIERDERE")</f>
        <v>PROFIT</v>
      </c>
      <c r="O193" s="15">
        <f>Vanzari!$M193-Vanzari!$L193</f>
        <v>268.08600000000001</v>
      </c>
      <c r="P193" s="15" cm="1">
        <f t="array" ref="P193">ProfitImpozitat(Vanzari!$O193)</f>
        <v>265.40514000000002</v>
      </c>
    </row>
    <row r="194" spans="1:16" x14ac:dyDescent="0.2">
      <c r="A194" s="14">
        <v>44464</v>
      </c>
      <c r="B194" s="7" t="s">
        <v>60</v>
      </c>
      <c r="C194" s="7" t="s">
        <v>60</v>
      </c>
      <c r="D194" s="7" t="s">
        <v>52</v>
      </c>
      <c r="E194" s="7" t="s">
        <v>21</v>
      </c>
      <c r="F194" s="7">
        <v>335</v>
      </c>
      <c r="G194" s="15">
        <v>1.2</v>
      </c>
      <c r="H194" s="15">
        <v>1.87</v>
      </c>
      <c r="I194" s="15" t="str">
        <f>IF(Vanzari!$D194="Băuturi alcoolice şi ţigări","ACCIZA","TVA")</f>
        <v>TVA</v>
      </c>
      <c r="J194" s="15">
        <f>IF(Vanzari!$D194="Băuturi alcoolice şi ţigări",Vanzari!$H194*0.05,Vanzari!$H194*0.09)</f>
        <v>0.16830000000000001</v>
      </c>
      <c r="K194" s="15">
        <f>SUM(Vanzari!$H194,Vanzari!$J194)</f>
        <v>2.0383</v>
      </c>
      <c r="L194" s="15">
        <f>Vanzari!$F194*Vanzari!$G194</f>
        <v>402</v>
      </c>
      <c r="M194" s="15">
        <f>Vanzari!$F194*Vanzari!$K194</f>
        <v>682.83050000000003</v>
      </c>
      <c r="N194" s="15" t="str">
        <f>IF(Vanzari!$M194&gt;Vanzari!$L194,"PROFIT","PIERDERE")</f>
        <v>PROFIT</v>
      </c>
      <c r="O194" s="15">
        <f>Vanzari!$M194-Vanzari!$L194</f>
        <v>280.83050000000003</v>
      </c>
      <c r="P194" s="15" cm="1">
        <f t="array" ref="P194">ProfitImpozitat(Vanzari!$O194)</f>
        <v>278.02219500000001</v>
      </c>
    </row>
    <row r="195" spans="1:16" x14ac:dyDescent="0.2">
      <c r="A195" s="14">
        <v>44302</v>
      </c>
      <c r="B195" s="7" t="s">
        <v>6</v>
      </c>
      <c r="C195" s="7" t="s">
        <v>59</v>
      </c>
      <c r="D195" s="7" t="s">
        <v>52</v>
      </c>
      <c r="E195" s="7" t="s">
        <v>27</v>
      </c>
      <c r="F195" s="7">
        <v>485</v>
      </c>
      <c r="G195" s="15">
        <v>0.31</v>
      </c>
      <c r="H195" s="15">
        <v>0.87</v>
      </c>
      <c r="I195" s="15" t="str">
        <f>IF(Vanzari!$D195="Băuturi alcoolice şi ţigări","ACCIZA","TVA")</f>
        <v>TVA</v>
      </c>
      <c r="J195" s="15">
        <f>IF(Vanzari!$D195="Băuturi alcoolice şi ţigări",Vanzari!$H195*0.05,Vanzari!$H195*0.09)</f>
        <v>7.8299999999999995E-2</v>
      </c>
      <c r="K195" s="15">
        <f>SUM(Vanzari!$H195,Vanzari!$J195)</f>
        <v>0.94830000000000003</v>
      </c>
      <c r="L195" s="15">
        <f>Vanzari!$F195*Vanzari!$G195</f>
        <v>150.35</v>
      </c>
      <c r="M195" s="15">
        <f>Vanzari!$F195*Vanzari!$K195</f>
        <v>459.9255</v>
      </c>
      <c r="N195" s="15" t="str">
        <f>IF(Vanzari!$M195&gt;Vanzari!$L195,"PROFIT","PIERDERE")</f>
        <v>PROFIT</v>
      </c>
      <c r="O195" s="15">
        <f>Vanzari!$M195-Vanzari!$L195</f>
        <v>309.57550000000003</v>
      </c>
      <c r="P195" s="15" cm="1">
        <f t="array" ref="P195">ProfitImpozitat(Vanzari!$O195)</f>
        <v>306.47974500000004</v>
      </c>
    </row>
    <row r="196" spans="1:16" x14ac:dyDescent="0.2">
      <c r="A196" s="14">
        <v>44416</v>
      </c>
      <c r="B196" s="7" t="s">
        <v>5</v>
      </c>
      <c r="C196" s="7" t="s">
        <v>5</v>
      </c>
      <c r="D196" s="7" t="s">
        <v>52</v>
      </c>
      <c r="E196" s="7" t="s">
        <v>23</v>
      </c>
      <c r="F196" s="7">
        <v>245</v>
      </c>
      <c r="G196" s="15">
        <v>3.29</v>
      </c>
      <c r="H196" s="15">
        <v>4.21</v>
      </c>
      <c r="I196" s="15" t="str">
        <f>IF(Vanzari!$D196="Băuturi alcoolice şi ţigări","ACCIZA","TVA")</f>
        <v>TVA</v>
      </c>
      <c r="J196" s="15">
        <f>IF(Vanzari!$D196="Băuturi alcoolice şi ţigări",Vanzari!$H196*0.05,Vanzari!$H196*0.09)</f>
        <v>0.37889999999999996</v>
      </c>
      <c r="K196" s="15">
        <f>SUM(Vanzari!$H196,Vanzari!$J196)</f>
        <v>4.5888999999999998</v>
      </c>
      <c r="L196" s="15">
        <f>Vanzari!$F196*Vanzari!$G196</f>
        <v>806.05</v>
      </c>
      <c r="M196" s="15">
        <f>Vanzari!$F196*Vanzari!$K196</f>
        <v>1124.2804999999998</v>
      </c>
      <c r="N196" s="15" t="str">
        <f>IF(Vanzari!$M196&gt;Vanzari!$L196,"PROFIT","PIERDERE")</f>
        <v>PROFIT</v>
      </c>
      <c r="O196" s="15">
        <f>Vanzari!$M196-Vanzari!$L196</f>
        <v>318.23049999999989</v>
      </c>
      <c r="P196" s="15" cm="1">
        <f t="array" ref="P196">ProfitImpozitat(Vanzari!$O196)</f>
        <v>315.04819499999991</v>
      </c>
    </row>
    <row r="197" spans="1:16" x14ac:dyDescent="0.2">
      <c r="A197" s="14">
        <v>44356</v>
      </c>
      <c r="B197" s="7" t="s">
        <v>60</v>
      </c>
      <c r="C197" s="7" t="s">
        <v>60</v>
      </c>
      <c r="D197" s="7" t="s">
        <v>52</v>
      </c>
      <c r="E197" s="7" t="s">
        <v>25</v>
      </c>
      <c r="F197" s="7">
        <v>425</v>
      </c>
      <c r="G197" s="15">
        <v>1.52</v>
      </c>
      <c r="H197" s="15">
        <v>2.15</v>
      </c>
      <c r="I197" s="15" t="str">
        <f>IF(Vanzari!$D197="Băuturi alcoolice şi ţigări","ACCIZA","TVA")</f>
        <v>TVA</v>
      </c>
      <c r="J197" s="15">
        <f>IF(Vanzari!$D197="Băuturi alcoolice şi ţigări",Vanzari!$H197*0.05,Vanzari!$H197*0.09)</f>
        <v>0.19349999999999998</v>
      </c>
      <c r="K197" s="15">
        <f>SUM(Vanzari!$H197,Vanzari!$J197)</f>
        <v>2.3434999999999997</v>
      </c>
      <c r="L197" s="15">
        <f>Vanzari!$F197*Vanzari!$G197</f>
        <v>646</v>
      </c>
      <c r="M197" s="15">
        <f>Vanzari!$F197*Vanzari!$K197</f>
        <v>995.98749999999984</v>
      </c>
      <c r="N197" s="15" t="str">
        <f>IF(Vanzari!$M197&gt;Vanzari!$L197,"PROFIT","PIERDERE")</f>
        <v>PROFIT</v>
      </c>
      <c r="O197" s="15">
        <f>Vanzari!$M197-Vanzari!$L197</f>
        <v>349.98749999999984</v>
      </c>
      <c r="P197" s="15" cm="1">
        <f t="array" ref="P197">ProfitImpozitat(Vanzari!$O197)</f>
        <v>346.48762499999987</v>
      </c>
    </row>
    <row r="198" spans="1:16" x14ac:dyDescent="0.2">
      <c r="A198" s="14">
        <v>44287</v>
      </c>
      <c r="B198" s="7" t="s">
        <v>1</v>
      </c>
      <c r="C198" s="7" t="s">
        <v>0</v>
      </c>
      <c r="D198" s="7" t="s">
        <v>52</v>
      </c>
      <c r="E198" s="7" t="s">
        <v>27</v>
      </c>
      <c r="F198" s="7">
        <v>580</v>
      </c>
      <c r="G198" s="15">
        <v>0.31</v>
      </c>
      <c r="H198" s="15">
        <v>0.87</v>
      </c>
      <c r="I198" s="15" t="str">
        <f>IF(Vanzari!$D198="Băuturi alcoolice şi ţigări","ACCIZA","TVA")</f>
        <v>TVA</v>
      </c>
      <c r="J198" s="15">
        <f>IF(Vanzari!$D198="Băuturi alcoolice şi ţigări",Vanzari!$H198*0.05,Vanzari!$H198*0.09)</f>
        <v>7.8299999999999995E-2</v>
      </c>
      <c r="K198" s="15">
        <f>SUM(Vanzari!$H198,Vanzari!$J198)</f>
        <v>0.94830000000000003</v>
      </c>
      <c r="L198" s="15">
        <f>Vanzari!$F198*Vanzari!$G198</f>
        <v>179.8</v>
      </c>
      <c r="M198" s="15">
        <f>Vanzari!$F198*Vanzari!$K198</f>
        <v>550.01400000000001</v>
      </c>
      <c r="N198" s="15" t="str">
        <f>IF(Vanzari!$M198&gt;Vanzari!$L198,"PROFIT","PIERDERE")</f>
        <v>PROFIT</v>
      </c>
      <c r="O198" s="15">
        <f>Vanzari!$M198-Vanzari!$L198</f>
        <v>370.214</v>
      </c>
      <c r="P198" s="15" cm="1">
        <f t="array" ref="P198">ProfitImpozitat(Vanzari!$O198)</f>
        <v>366.51186000000001</v>
      </c>
    </row>
    <row r="199" spans="1:16" x14ac:dyDescent="0.2">
      <c r="A199" s="14">
        <v>44829</v>
      </c>
      <c r="B199" s="7" t="s">
        <v>6</v>
      </c>
      <c r="C199" s="7" t="s">
        <v>59</v>
      </c>
      <c r="D199" s="7" t="s">
        <v>52</v>
      </c>
      <c r="E199" s="7" t="s">
        <v>8</v>
      </c>
      <c r="F199" s="7">
        <v>315</v>
      </c>
      <c r="G199" s="15">
        <v>2.91</v>
      </c>
      <c r="H199" s="15">
        <v>3.77</v>
      </c>
      <c r="I199" s="15" t="str">
        <f>IF(Vanzari!$D199="Băuturi alcoolice şi ţigări","ACCIZA","TVA")</f>
        <v>TVA</v>
      </c>
      <c r="J199" s="15">
        <f>IF(Vanzari!$D199="Băuturi alcoolice şi ţigări",Vanzari!$H199*0.05,Vanzari!$H199*0.09)</f>
        <v>0.33929999999999999</v>
      </c>
      <c r="K199" s="15">
        <f>SUM(Vanzari!$H199,Vanzari!$J199)</f>
        <v>4.1093000000000002</v>
      </c>
      <c r="L199" s="15">
        <f>Vanzari!$F199*Vanzari!$G199</f>
        <v>916.65000000000009</v>
      </c>
      <c r="M199" s="15">
        <f>Vanzari!$F199*Vanzari!$K199</f>
        <v>1294.4295</v>
      </c>
      <c r="N199" s="15" t="str">
        <f>IF(Vanzari!$M199&gt;Vanzari!$L199,"PROFIT","PIERDERE")</f>
        <v>PROFIT</v>
      </c>
      <c r="O199" s="15">
        <f>Vanzari!$M199-Vanzari!$L199</f>
        <v>377.77949999999987</v>
      </c>
      <c r="P199" s="15" cm="1">
        <f t="array" ref="P199">ProfitImpozitat(Vanzari!$O199)</f>
        <v>374.00170499999984</v>
      </c>
    </row>
    <row r="200" spans="1:16" x14ac:dyDescent="0.2">
      <c r="A200" s="14">
        <v>44263</v>
      </c>
      <c r="B200" s="7" t="s">
        <v>6</v>
      </c>
      <c r="C200" s="7" t="s">
        <v>59</v>
      </c>
      <c r="D200" s="7" t="s">
        <v>52</v>
      </c>
      <c r="E200" s="7" t="s">
        <v>27</v>
      </c>
      <c r="F200" s="7">
        <v>610</v>
      </c>
      <c r="G200" s="15">
        <v>0.31</v>
      </c>
      <c r="H200" s="15">
        <v>0.87</v>
      </c>
      <c r="I200" s="15" t="str">
        <f>IF(Vanzari!$D200="Băuturi alcoolice şi ţigări","ACCIZA","TVA")</f>
        <v>TVA</v>
      </c>
      <c r="J200" s="15">
        <f>IF(Vanzari!$D200="Băuturi alcoolice şi ţigări",Vanzari!$H200*0.05,Vanzari!$H200*0.09)</f>
        <v>7.8299999999999995E-2</v>
      </c>
      <c r="K200" s="15">
        <f>SUM(Vanzari!$H200,Vanzari!$J200)</f>
        <v>0.94830000000000003</v>
      </c>
      <c r="L200" s="15">
        <f>Vanzari!$F200*Vanzari!$G200</f>
        <v>189.1</v>
      </c>
      <c r="M200" s="15">
        <f>Vanzari!$F200*Vanzari!$K200</f>
        <v>578.46299999999997</v>
      </c>
      <c r="N200" s="15" t="str">
        <f>IF(Vanzari!$M200&gt;Vanzari!$L200,"PROFIT","PIERDERE")</f>
        <v>PROFIT</v>
      </c>
      <c r="O200" s="15">
        <f>Vanzari!$M200-Vanzari!$L200</f>
        <v>389.36299999999994</v>
      </c>
      <c r="P200" s="15" cm="1">
        <f t="array" ref="P200">ProfitImpozitat(Vanzari!$O200)</f>
        <v>385.46936999999997</v>
      </c>
    </row>
    <row r="201" spans="1:16" x14ac:dyDescent="0.2">
      <c r="A201" s="14">
        <v>44368</v>
      </c>
      <c r="B201" s="7" t="s">
        <v>1</v>
      </c>
      <c r="C201" s="7" t="s">
        <v>0</v>
      </c>
      <c r="D201" s="7" t="s">
        <v>52</v>
      </c>
      <c r="E201" s="7" t="s">
        <v>23</v>
      </c>
      <c r="F201" s="7">
        <v>306</v>
      </c>
      <c r="G201" s="15">
        <v>3.29</v>
      </c>
      <c r="H201" s="15">
        <v>4.21</v>
      </c>
      <c r="I201" s="15" t="str">
        <f>IF(Vanzari!$D201="Băuturi alcoolice şi ţigări","ACCIZA","TVA")</f>
        <v>TVA</v>
      </c>
      <c r="J201" s="15">
        <f>IF(Vanzari!$D201="Băuturi alcoolice şi ţigări",Vanzari!$H201*0.05,Vanzari!$H201*0.09)</f>
        <v>0.37889999999999996</v>
      </c>
      <c r="K201" s="15">
        <f>SUM(Vanzari!$H201,Vanzari!$J201)</f>
        <v>4.5888999999999998</v>
      </c>
      <c r="L201" s="15">
        <f>Vanzari!$F201*Vanzari!$G201</f>
        <v>1006.74</v>
      </c>
      <c r="M201" s="15">
        <f>Vanzari!$F201*Vanzari!$K201</f>
        <v>1404.2033999999999</v>
      </c>
      <c r="N201" s="15" t="str">
        <f>IF(Vanzari!$M201&gt;Vanzari!$L201,"PROFIT","PIERDERE")</f>
        <v>PROFIT</v>
      </c>
      <c r="O201" s="15">
        <f>Vanzari!$M201-Vanzari!$L201</f>
        <v>397.46339999999987</v>
      </c>
      <c r="P201" s="15" cm="1">
        <f t="array" ref="P201">ProfitImpozitat(Vanzari!$O201)</f>
        <v>393.48876599999988</v>
      </c>
    </row>
    <row r="202" spans="1:16" x14ac:dyDescent="0.2">
      <c r="A202" s="14">
        <v>44790</v>
      </c>
      <c r="B202" s="7" t="s">
        <v>1</v>
      </c>
      <c r="C202" s="7" t="s">
        <v>0</v>
      </c>
      <c r="D202" s="7" t="s">
        <v>52</v>
      </c>
      <c r="E202" s="7" t="s">
        <v>10</v>
      </c>
      <c r="F202" s="7">
        <v>340</v>
      </c>
      <c r="G202" s="15">
        <v>3.28</v>
      </c>
      <c r="H202" s="15">
        <v>4.2699999999999996</v>
      </c>
      <c r="I202" s="15" t="str">
        <f>IF(Vanzari!$D202="Băuturi alcoolice şi ţigări","ACCIZA","TVA")</f>
        <v>TVA</v>
      </c>
      <c r="J202" s="15">
        <f>IF(Vanzari!$D202="Băuturi alcoolice şi ţigări",Vanzari!$H202*0.05,Vanzari!$H202*0.09)</f>
        <v>0.38429999999999997</v>
      </c>
      <c r="K202" s="15">
        <f>SUM(Vanzari!$H202,Vanzari!$J202)</f>
        <v>4.6542999999999992</v>
      </c>
      <c r="L202" s="15">
        <f>Vanzari!$F202*Vanzari!$G202</f>
        <v>1115.2</v>
      </c>
      <c r="M202" s="15">
        <f>Vanzari!$F202*Vanzari!$K202</f>
        <v>1582.4619999999998</v>
      </c>
      <c r="N202" s="15" t="str">
        <f>IF(Vanzari!$M202&gt;Vanzari!$L202,"PROFIT","PIERDERE")</f>
        <v>PROFIT</v>
      </c>
      <c r="O202" s="15">
        <f>Vanzari!$M202-Vanzari!$L202</f>
        <v>467.26199999999972</v>
      </c>
      <c r="P202" s="15" cm="1">
        <f t="array" ref="P202">ProfitImpozitat(Vanzari!$O202)</f>
        <v>462.58937999999972</v>
      </c>
    </row>
    <row r="203" spans="1:16" x14ac:dyDescent="0.2">
      <c r="A203" s="14">
        <v>44344</v>
      </c>
      <c r="B203" s="7" t="s">
        <v>6</v>
      </c>
      <c r="C203" s="7" t="s">
        <v>59</v>
      </c>
      <c r="D203" s="7" t="s">
        <v>52</v>
      </c>
      <c r="E203" s="7" t="s">
        <v>25</v>
      </c>
      <c r="F203" s="7">
        <v>580</v>
      </c>
      <c r="G203" s="15">
        <v>1.52</v>
      </c>
      <c r="H203" s="15">
        <v>2.15</v>
      </c>
      <c r="I203" s="15" t="str">
        <f>IF(Vanzari!$D203="Băuturi alcoolice şi ţigări","ACCIZA","TVA")</f>
        <v>TVA</v>
      </c>
      <c r="J203" s="15">
        <f>IF(Vanzari!$D203="Băuturi alcoolice şi ţigări",Vanzari!$H203*0.05,Vanzari!$H203*0.09)</f>
        <v>0.19349999999999998</v>
      </c>
      <c r="K203" s="15">
        <f>SUM(Vanzari!$H203,Vanzari!$J203)</f>
        <v>2.3434999999999997</v>
      </c>
      <c r="L203" s="15">
        <f>Vanzari!$F203*Vanzari!$G203</f>
        <v>881.6</v>
      </c>
      <c r="M203" s="15">
        <f>Vanzari!$F203*Vanzari!$K203</f>
        <v>1359.2299999999998</v>
      </c>
      <c r="N203" s="15" t="str">
        <f>IF(Vanzari!$M203&gt;Vanzari!$L203,"PROFIT","PIERDERE")</f>
        <v>PROFIT</v>
      </c>
      <c r="O203" s="15">
        <f>Vanzari!$M203-Vanzari!$L203</f>
        <v>477.62999999999977</v>
      </c>
      <c r="P203" s="15" cm="1">
        <f t="array" ref="P203">ProfitImpozitat(Vanzari!$O203)</f>
        <v>472.85369999999978</v>
      </c>
    </row>
    <row r="204" spans="1:16" x14ac:dyDescent="0.2">
      <c r="A204" s="14">
        <v>44332</v>
      </c>
      <c r="B204" s="7" t="s">
        <v>5</v>
      </c>
      <c r="C204" s="7" t="s">
        <v>5</v>
      </c>
      <c r="D204" s="7" t="s">
        <v>52</v>
      </c>
      <c r="E204" s="7" t="s">
        <v>25</v>
      </c>
      <c r="F204" s="7">
        <v>610</v>
      </c>
      <c r="G204" s="15">
        <v>1.52</v>
      </c>
      <c r="H204" s="15">
        <v>2.15</v>
      </c>
      <c r="I204" s="15" t="str">
        <f>IF(Vanzari!$D204="Băuturi alcoolice şi ţigări","ACCIZA","TVA")</f>
        <v>TVA</v>
      </c>
      <c r="J204" s="15">
        <f>IF(Vanzari!$D204="Băuturi alcoolice şi ţigări",Vanzari!$H204*0.05,Vanzari!$H204*0.09)</f>
        <v>0.19349999999999998</v>
      </c>
      <c r="K204" s="15">
        <f>SUM(Vanzari!$H204,Vanzari!$J204)</f>
        <v>2.3434999999999997</v>
      </c>
      <c r="L204" s="15">
        <f>Vanzari!$F204*Vanzari!$G204</f>
        <v>927.2</v>
      </c>
      <c r="M204" s="15">
        <f>Vanzari!$F204*Vanzari!$K204</f>
        <v>1429.5349999999999</v>
      </c>
      <c r="N204" s="15" t="str">
        <f>IF(Vanzari!$M204&gt;Vanzari!$L204,"PROFIT","PIERDERE")</f>
        <v>PROFIT</v>
      </c>
      <c r="O204" s="15">
        <f>Vanzari!$M204-Vanzari!$L204</f>
        <v>502.33499999999981</v>
      </c>
      <c r="P204" s="15" cm="1">
        <f t="array" ref="P204">ProfitImpozitat(Vanzari!$O204)</f>
        <v>477.21824999999984</v>
      </c>
    </row>
    <row r="205" spans="1:16" x14ac:dyDescent="0.2">
      <c r="A205" s="14">
        <v>44835</v>
      </c>
      <c r="B205" s="7" t="s">
        <v>1</v>
      </c>
      <c r="C205" s="7" t="s">
        <v>0</v>
      </c>
      <c r="D205" s="7" t="s">
        <v>52</v>
      </c>
      <c r="E205" s="7" t="s">
        <v>8</v>
      </c>
      <c r="F205" s="7">
        <v>435</v>
      </c>
      <c r="G205" s="15">
        <v>2.91</v>
      </c>
      <c r="H205" s="15">
        <v>3.77</v>
      </c>
      <c r="I205" s="15" t="str">
        <f>IF(Vanzari!$D205="Băuturi alcoolice şi ţigări","ACCIZA","TVA")</f>
        <v>TVA</v>
      </c>
      <c r="J205" s="15">
        <f>IF(Vanzari!$D205="Băuturi alcoolice şi ţigări",Vanzari!$H205*0.05,Vanzari!$H205*0.09)</f>
        <v>0.33929999999999999</v>
      </c>
      <c r="K205" s="15">
        <f>SUM(Vanzari!$H205,Vanzari!$J205)</f>
        <v>4.1093000000000002</v>
      </c>
      <c r="L205" s="15">
        <f>Vanzari!$F205*Vanzari!$G205</f>
        <v>1265.8500000000001</v>
      </c>
      <c r="M205" s="15">
        <f>Vanzari!$F205*Vanzari!$K205</f>
        <v>1787.5455000000002</v>
      </c>
      <c r="N205" s="15" t="str">
        <f>IF(Vanzari!$M205&gt;Vanzari!$L205,"PROFIT","PIERDERE")</f>
        <v>PROFIT</v>
      </c>
      <c r="O205" s="15">
        <f>Vanzari!$M205-Vanzari!$L205</f>
        <v>521.69550000000004</v>
      </c>
      <c r="P205" s="15" cm="1">
        <f t="array" ref="P205">ProfitImpozitat(Vanzari!$O205)</f>
        <v>495.61072500000006</v>
      </c>
    </row>
    <row r="206" spans="1:16" x14ac:dyDescent="0.2">
      <c r="A206" s="14">
        <v>44853</v>
      </c>
      <c r="B206" s="7" t="s">
        <v>6</v>
      </c>
      <c r="C206" s="7" t="s">
        <v>59</v>
      </c>
      <c r="D206" s="7" t="s">
        <v>52</v>
      </c>
      <c r="E206" s="7" t="s">
        <v>8</v>
      </c>
      <c r="F206" s="7">
        <v>435</v>
      </c>
      <c r="G206" s="15">
        <v>2.91</v>
      </c>
      <c r="H206" s="15">
        <v>3.77</v>
      </c>
      <c r="I206" s="15" t="str">
        <f>IF(Vanzari!$D206="Băuturi alcoolice şi ţigări","ACCIZA","TVA")</f>
        <v>TVA</v>
      </c>
      <c r="J206" s="15">
        <f>IF(Vanzari!$D206="Băuturi alcoolice şi ţigări",Vanzari!$H206*0.05,Vanzari!$H206*0.09)</f>
        <v>0.33929999999999999</v>
      </c>
      <c r="K206" s="15">
        <f>SUM(Vanzari!$H206,Vanzari!$J206)</f>
        <v>4.1093000000000002</v>
      </c>
      <c r="L206" s="15">
        <f>Vanzari!$F206*Vanzari!$G206</f>
        <v>1265.8500000000001</v>
      </c>
      <c r="M206" s="15">
        <f>Vanzari!$F206*Vanzari!$K206</f>
        <v>1787.5455000000002</v>
      </c>
      <c r="N206" s="15" t="str">
        <f>IF(Vanzari!$M206&gt;Vanzari!$L206,"PROFIT","PIERDERE")</f>
        <v>PROFIT</v>
      </c>
      <c r="O206" s="15">
        <f>Vanzari!$M206-Vanzari!$L206</f>
        <v>521.69550000000004</v>
      </c>
      <c r="P206" s="15" cm="1">
        <f t="array" ref="P206">ProfitImpozitat(Vanzari!$O206)</f>
        <v>495.61072500000006</v>
      </c>
    </row>
    <row r="207" spans="1:16" x14ac:dyDescent="0.2">
      <c r="A207" s="14">
        <v>44793</v>
      </c>
      <c r="B207" s="7" t="s">
        <v>5</v>
      </c>
      <c r="C207" s="7" t="s">
        <v>5</v>
      </c>
      <c r="D207" s="7" t="s">
        <v>52</v>
      </c>
      <c r="E207" s="7" t="s">
        <v>10</v>
      </c>
      <c r="F207" s="7">
        <v>395</v>
      </c>
      <c r="G207" s="15">
        <v>3.28</v>
      </c>
      <c r="H207" s="15">
        <v>4.2699999999999996</v>
      </c>
      <c r="I207" s="15" t="str">
        <f>IF(Vanzari!$D207="Băuturi alcoolice şi ţigări","ACCIZA","TVA")</f>
        <v>TVA</v>
      </c>
      <c r="J207" s="15">
        <f>IF(Vanzari!$D207="Băuturi alcoolice şi ţigări",Vanzari!$H207*0.05,Vanzari!$H207*0.09)</f>
        <v>0.38429999999999997</v>
      </c>
      <c r="K207" s="15">
        <f>SUM(Vanzari!$H207,Vanzari!$J207)</f>
        <v>4.6542999999999992</v>
      </c>
      <c r="L207" s="15">
        <f>Vanzari!$F207*Vanzari!$G207</f>
        <v>1295.5999999999999</v>
      </c>
      <c r="M207" s="15">
        <f>Vanzari!$F207*Vanzari!$K207</f>
        <v>1838.4484999999997</v>
      </c>
      <c r="N207" s="15" t="str">
        <f>IF(Vanzari!$M207&gt;Vanzari!$L207,"PROFIT","PIERDERE")</f>
        <v>PROFIT</v>
      </c>
      <c r="O207" s="15">
        <f>Vanzari!$M207-Vanzari!$L207</f>
        <v>542.84849999999983</v>
      </c>
      <c r="P207" s="15" cm="1">
        <f t="array" ref="P207">ProfitImpozitat(Vanzari!$O207)</f>
        <v>515.70607499999983</v>
      </c>
    </row>
    <row r="208" spans="1:16" x14ac:dyDescent="0.2">
      <c r="A208" s="14">
        <v>44293</v>
      </c>
      <c r="B208" s="7" t="s">
        <v>5</v>
      </c>
      <c r="C208" s="7" t="s">
        <v>5</v>
      </c>
      <c r="D208" s="7" t="s">
        <v>52</v>
      </c>
      <c r="E208" s="7" t="s">
        <v>27</v>
      </c>
      <c r="F208" s="7">
        <v>915</v>
      </c>
      <c r="G208" s="15">
        <v>0.31</v>
      </c>
      <c r="H208" s="15">
        <v>0.87</v>
      </c>
      <c r="I208" s="15" t="str">
        <f>IF(Vanzari!$D208="Băuturi alcoolice şi ţigări","ACCIZA","TVA")</f>
        <v>TVA</v>
      </c>
      <c r="J208" s="15">
        <f>IF(Vanzari!$D208="Băuturi alcoolice şi ţigări",Vanzari!$H208*0.05,Vanzari!$H208*0.09)</f>
        <v>7.8299999999999995E-2</v>
      </c>
      <c r="K208" s="15">
        <f>SUM(Vanzari!$H208,Vanzari!$J208)</f>
        <v>0.94830000000000003</v>
      </c>
      <c r="L208" s="15">
        <f>Vanzari!$F208*Vanzari!$G208</f>
        <v>283.64999999999998</v>
      </c>
      <c r="M208" s="15">
        <f>Vanzari!$F208*Vanzari!$K208</f>
        <v>867.69450000000006</v>
      </c>
      <c r="N208" s="15" t="str">
        <f>IF(Vanzari!$M208&gt;Vanzari!$L208,"PROFIT","PIERDERE")</f>
        <v>PROFIT</v>
      </c>
      <c r="O208" s="15">
        <f>Vanzari!$M208-Vanzari!$L208</f>
        <v>584.04450000000008</v>
      </c>
      <c r="P208" s="15" cm="1">
        <f t="array" ref="P208">ProfitImpozitat(Vanzari!$O208)</f>
        <v>554.84227500000009</v>
      </c>
    </row>
    <row r="209" spans="1:16" x14ac:dyDescent="0.2">
      <c r="A209" s="14">
        <v>44443</v>
      </c>
      <c r="B209" s="7" t="s">
        <v>60</v>
      </c>
      <c r="C209" s="7" t="s">
        <v>60</v>
      </c>
      <c r="D209" s="7" t="s">
        <v>52</v>
      </c>
      <c r="E209" s="7" t="s">
        <v>23</v>
      </c>
      <c r="F209" s="7">
        <v>450</v>
      </c>
      <c r="G209" s="15">
        <v>3.29</v>
      </c>
      <c r="H209" s="15">
        <v>4.21</v>
      </c>
      <c r="I209" s="15" t="str">
        <f>IF(Vanzari!$D209="Băuturi alcoolice şi ţigări","ACCIZA","TVA")</f>
        <v>TVA</v>
      </c>
      <c r="J209" s="15">
        <f>IF(Vanzari!$D209="Băuturi alcoolice şi ţigări",Vanzari!$H209*0.05,Vanzari!$H209*0.09)</f>
        <v>0.37889999999999996</v>
      </c>
      <c r="K209" s="15">
        <f>SUM(Vanzari!$H209,Vanzari!$J209)</f>
        <v>4.5888999999999998</v>
      </c>
      <c r="L209" s="15">
        <f>Vanzari!$F209*Vanzari!$G209</f>
        <v>1480.5</v>
      </c>
      <c r="M209" s="15">
        <f>Vanzari!$F209*Vanzari!$K209</f>
        <v>2065.0050000000001</v>
      </c>
      <c r="N209" s="15" t="str">
        <f>IF(Vanzari!$M209&gt;Vanzari!$L209,"PROFIT","PIERDERE")</f>
        <v>PROFIT</v>
      </c>
      <c r="O209" s="15">
        <f>Vanzari!$M209-Vanzari!$L209</f>
        <v>584.50500000000011</v>
      </c>
      <c r="P209" s="15" cm="1">
        <f t="array" ref="P209">ProfitImpozitat(Vanzari!$O209)</f>
        <v>555.27975000000015</v>
      </c>
    </row>
    <row r="210" spans="1:16" x14ac:dyDescent="0.2">
      <c r="A210" s="14">
        <v>44362</v>
      </c>
      <c r="B210" s="7" t="s">
        <v>6</v>
      </c>
      <c r="C210" s="7" t="s">
        <v>59</v>
      </c>
      <c r="D210" s="7" t="s">
        <v>52</v>
      </c>
      <c r="E210" s="7" t="s">
        <v>25</v>
      </c>
      <c r="F210" s="7">
        <v>755</v>
      </c>
      <c r="G210" s="15">
        <v>1.52</v>
      </c>
      <c r="H210" s="15">
        <v>2.15</v>
      </c>
      <c r="I210" s="15" t="str">
        <f>IF(Vanzari!$D210="Băuturi alcoolice şi ţigări","ACCIZA","TVA")</f>
        <v>TVA</v>
      </c>
      <c r="J210" s="15">
        <f>IF(Vanzari!$D210="Băuturi alcoolice şi ţigări",Vanzari!$H210*0.05,Vanzari!$H210*0.09)</f>
        <v>0.19349999999999998</v>
      </c>
      <c r="K210" s="15">
        <f>SUM(Vanzari!$H210,Vanzari!$J210)</f>
        <v>2.3434999999999997</v>
      </c>
      <c r="L210" s="15">
        <f>Vanzari!$F210*Vanzari!$G210</f>
        <v>1147.5999999999999</v>
      </c>
      <c r="M210" s="15">
        <f>Vanzari!$F210*Vanzari!$K210</f>
        <v>1769.3424999999997</v>
      </c>
      <c r="N210" s="15" t="str">
        <f>IF(Vanzari!$M210&gt;Vanzari!$L210,"PROFIT","PIERDERE")</f>
        <v>PROFIT</v>
      </c>
      <c r="O210" s="15">
        <f>Vanzari!$M210-Vanzari!$L210</f>
        <v>621.74249999999984</v>
      </c>
      <c r="P210" s="15" cm="1">
        <f t="array" ref="P210">ProfitImpozitat(Vanzari!$O210)</f>
        <v>590.65537499999982</v>
      </c>
    </row>
    <row r="211" spans="1:16" x14ac:dyDescent="0.2">
      <c r="A211" s="14">
        <v>44401</v>
      </c>
      <c r="B211" s="7" t="s">
        <v>60</v>
      </c>
      <c r="C211" s="7" t="s">
        <v>60</v>
      </c>
      <c r="D211" s="7" t="s">
        <v>52</v>
      </c>
      <c r="E211" s="7" t="s">
        <v>23</v>
      </c>
      <c r="F211" s="7">
        <v>516</v>
      </c>
      <c r="G211" s="15">
        <v>3.29</v>
      </c>
      <c r="H211" s="15">
        <v>4.21</v>
      </c>
      <c r="I211" s="15" t="str">
        <f>IF(Vanzari!$D211="Băuturi alcoolice şi ţigări","ACCIZA","TVA")</f>
        <v>TVA</v>
      </c>
      <c r="J211" s="15">
        <f>IF(Vanzari!$D211="Băuturi alcoolice şi ţigări",Vanzari!$H211*0.05,Vanzari!$H211*0.09)</f>
        <v>0.37889999999999996</v>
      </c>
      <c r="K211" s="15">
        <f>SUM(Vanzari!$H211,Vanzari!$J211)</f>
        <v>4.5888999999999998</v>
      </c>
      <c r="L211" s="15">
        <f>Vanzari!$F211*Vanzari!$G211</f>
        <v>1697.64</v>
      </c>
      <c r="M211" s="15">
        <f>Vanzari!$F211*Vanzari!$K211</f>
        <v>2367.8723999999997</v>
      </c>
      <c r="N211" s="15" t="str">
        <f>IF(Vanzari!$M211&gt;Vanzari!$L211,"PROFIT","PIERDERE")</f>
        <v>PROFIT</v>
      </c>
      <c r="O211" s="15">
        <f>Vanzari!$M211-Vanzari!$L211</f>
        <v>670.23239999999964</v>
      </c>
      <c r="P211" s="15" cm="1">
        <f t="array" ref="P211">ProfitImpozitat(Vanzari!$O211)</f>
        <v>636.72077999999965</v>
      </c>
    </row>
    <row r="212" spans="1:16" x14ac:dyDescent="0.2">
      <c r="A212" s="14">
        <v>44380</v>
      </c>
      <c r="B212" s="7" t="s">
        <v>60</v>
      </c>
      <c r="C212" s="7" t="s">
        <v>60</v>
      </c>
      <c r="D212" s="7" t="s">
        <v>52</v>
      </c>
      <c r="E212" s="7" t="s">
        <v>23</v>
      </c>
      <c r="F212" s="7">
        <v>520</v>
      </c>
      <c r="G212" s="15">
        <v>3.29</v>
      </c>
      <c r="H212" s="15">
        <v>4.21</v>
      </c>
      <c r="I212" s="15" t="str">
        <f>IF(Vanzari!$D212="Băuturi alcoolice şi ţigări","ACCIZA","TVA")</f>
        <v>TVA</v>
      </c>
      <c r="J212" s="15">
        <f>IF(Vanzari!$D212="Băuturi alcoolice şi ţigări",Vanzari!$H212*0.05,Vanzari!$H212*0.09)</f>
        <v>0.37889999999999996</v>
      </c>
      <c r="K212" s="15">
        <f>SUM(Vanzari!$H212,Vanzari!$J212)</f>
        <v>4.5888999999999998</v>
      </c>
      <c r="L212" s="15">
        <f>Vanzari!$F212*Vanzari!$G212</f>
        <v>1710.8</v>
      </c>
      <c r="M212" s="15">
        <f>Vanzari!$F212*Vanzari!$K212</f>
        <v>2386.2280000000001</v>
      </c>
      <c r="N212" s="15" t="str">
        <f>IF(Vanzari!$M212&gt;Vanzari!$L212,"PROFIT","PIERDERE")</f>
        <v>PROFIT</v>
      </c>
      <c r="O212" s="15">
        <f>Vanzari!$M212-Vanzari!$L212</f>
        <v>675.42800000000011</v>
      </c>
      <c r="P212" s="15" cm="1">
        <f t="array" ref="P212">ProfitImpozitat(Vanzari!$O212)</f>
        <v>641.65660000000014</v>
      </c>
    </row>
    <row r="213" spans="1:16" x14ac:dyDescent="0.2">
      <c r="A213" s="14">
        <v>44407</v>
      </c>
      <c r="B213" s="7" t="s">
        <v>6</v>
      </c>
      <c r="C213" s="7" t="s">
        <v>59</v>
      </c>
      <c r="D213" s="7" t="s">
        <v>52</v>
      </c>
      <c r="E213" s="7" t="s">
        <v>23</v>
      </c>
      <c r="F213" s="7">
        <v>560</v>
      </c>
      <c r="G213" s="15">
        <v>3.29</v>
      </c>
      <c r="H213" s="15">
        <v>4.21</v>
      </c>
      <c r="I213" s="15" t="str">
        <f>IF(Vanzari!$D213="Băuturi alcoolice şi ţigări","ACCIZA","TVA")</f>
        <v>TVA</v>
      </c>
      <c r="J213" s="15">
        <f>IF(Vanzari!$D213="Băuturi alcoolice şi ţigări",Vanzari!$H213*0.05,Vanzari!$H213*0.09)</f>
        <v>0.37889999999999996</v>
      </c>
      <c r="K213" s="15">
        <f>SUM(Vanzari!$H213,Vanzari!$J213)</f>
        <v>4.5888999999999998</v>
      </c>
      <c r="L213" s="15">
        <f>Vanzari!$F213*Vanzari!$G213</f>
        <v>1842.4</v>
      </c>
      <c r="M213" s="15">
        <f>Vanzari!$F213*Vanzari!$K213</f>
        <v>2569.7839999999997</v>
      </c>
      <c r="N213" s="15" t="str">
        <f>IF(Vanzari!$M213&gt;Vanzari!$L213,"PROFIT","PIERDERE")</f>
        <v>PROFIT</v>
      </c>
      <c r="O213" s="15">
        <f>Vanzari!$M213-Vanzari!$L213</f>
        <v>727.38399999999956</v>
      </c>
      <c r="P213" s="15" cm="1">
        <f t="array" ref="P213">ProfitImpozitat(Vanzari!$O213)</f>
        <v>691.01479999999958</v>
      </c>
    </row>
    <row r="214" spans="1:16" x14ac:dyDescent="0.2">
      <c r="A214" s="14">
        <v>44395</v>
      </c>
      <c r="B214" s="7" t="s">
        <v>5</v>
      </c>
      <c r="C214" s="7" t="s">
        <v>5</v>
      </c>
      <c r="D214" s="7" t="s">
        <v>52</v>
      </c>
      <c r="E214" s="7" t="s">
        <v>23</v>
      </c>
      <c r="F214" s="7">
        <v>720</v>
      </c>
      <c r="G214" s="15">
        <v>3.29</v>
      </c>
      <c r="H214" s="15">
        <v>4.21</v>
      </c>
      <c r="I214" s="15" t="str">
        <f>IF(Vanzari!$D214="Băuturi alcoolice şi ţigări","ACCIZA","TVA")</f>
        <v>TVA</v>
      </c>
      <c r="J214" s="15">
        <f>IF(Vanzari!$D214="Băuturi alcoolice şi ţigări",Vanzari!$H214*0.05,Vanzari!$H214*0.09)</f>
        <v>0.37889999999999996</v>
      </c>
      <c r="K214" s="15">
        <f>SUM(Vanzari!$H214,Vanzari!$J214)</f>
        <v>4.5888999999999998</v>
      </c>
      <c r="L214" s="15">
        <f>Vanzari!$F214*Vanzari!$G214</f>
        <v>2368.8000000000002</v>
      </c>
      <c r="M214" s="15">
        <f>Vanzari!$F214*Vanzari!$K214</f>
        <v>3304.0079999999998</v>
      </c>
      <c r="N214" s="15" t="str">
        <f>IF(Vanzari!$M214&gt;Vanzari!$L214,"PROFIT","PIERDERE")</f>
        <v>PROFIT</v>
      </c>
      <c r="O214" s="15">
        <f>Vanzari!$M214-Vanzari!$L214</f>
        <v>935.20799999999963</v>
      </c>
      <c r="P214" s="15" cm="1">
        <f t="array" ref="P214">ProfitImpozitat(Vanzari!$O214)</f>
        <v>888.44759999999962</v>
      </c>
    </row>
    <row r="215" spans="1:16" x14ac:dyDescent="0.2">
      <c r="A215" s="14">
        <v>44775</v>
      </c>
      <c r="B215" s="7" t="s">
        <v>5</v>
      </c>
      <c r="C215" s="7" t="s">
        <v>5</v>
      </c>
      <c r="D215" s="7" t="s">
        <v>52</v>
      </c>
      <c r="E215" s="7" t="s">
        <v>10</v>
      </c>
      <c r="F215" s="7">
        <v>715</v>
      </c>
      <c r="G215" s="15">
        <v>3.28</v>
      </c>
      <c r="H215" s="15">
        <v>4.2699999999999996</v>
      </c>
      <c r="I215" s="15" t="str">
        <f>IF(Vanzari!$D215="Băuturi alcoolice şi ţigări","ACCIZA","TVA")</f>
        <v>TVA</v>
      </c>
      <c r="J215" s="15">
        <f>IF(Vanzari!$D215="Băuturi alcoolice şi ţigări",Vanzari!$H215*0.05,Vanzari!$H215*0.09)</f>
        <v>0.38429999999999997</v>
      </c>
      <c r="K215" s="15">
        <f>SUM(Vanzari!$H215,Vanzari!$J215)</f>
        <v>4.6542999999999992</v>
      </c>
      <c r="L215" s="15">
        <f>Vanzari!$F215*Vanzari!$G215</f>
        <v>2345.1999999999998</v>
      </c>
      <c r="M215" s="15">
        <f>Vanzari!$F215*Vanzari!$K215</f>
        <v>3327.8244999999993</v>
      </c>
      <c r="N215" s="15" t="str">
        <f>IF(Vanzari!$M215&gt;Vanzari!$L215,"PROFIT","PIERDERE")</f>
        <v>PROFIT</v>
      </c>
      <c r="O215" s="15">
        <f>Vanzari!$M215-Vanzari!$L215</f>
        <v>982.62449999999944</v>
      </c>
      <c r="P215" s="15" cm="1">
        <f t="array" ref="P215">ProfitImpozitat(Vanzari!$O215)</f>
        <v>933.49327499999947</v>
      </c>
    </row>
    <row r="216" spans="1:16" x14ac:dyDescent="0.2">
      <c r="A216" s="14">
        <v>44634</v>
      </c>
      <c r="B216" s="7" t="s">
        <v>6</v>
      </c>
      <c r="C216" s="7" t="s">
        <v>59</v>
      </c>
      <c r="D216" s="7" t="s">
        <v>52</v>
      </c>
      <c r="E216" s="7" t="s">
        <v>15</v>
      </c>
      <c r="F216" s="7">
        <v>930</v>
      </c>
      <c r="G216" s="15">
        <v>1.62</v>
      </c>
      <c r="H216" s="15">
        <v>2.87</v>
      </c>
      <c r="I216" s="15" t="str">
        <f>IF(Vanzari!$D216="Băuturi alcoolice şi ţigări","ACCIZA","TVA")</f>
        <v>TVA</v>
      </c>
      <c r="J216" s="15">
        <f>IF(Vanzari!$D216="Băuturi alcoolice şi ţigări",Vanzari!$H216*0.05,Vanzari!$H216*0.09)</f>
        <v>0.25829999999999997</v>
      </c>
      <c r="K216" s="15">
        <f>SUM(Vanzari!$H216,Vanzari!$J216)</f>
        <v>3.1283000000000003</v>
      </c>
      <c r="L216" s="15">
        <f>Vanzari!$F216*Vanzari!$G216</f>
        <v>1506.6000000000001</v>
      </c>
      <c r="M216" s="15">
        <f>Vanzari!$F216*Vanzari!$K216</f>
        <v>2909.3190000000004</v>
      </c>
      <c r="N216" s="15" t="str">
        <f>IF(Vanzari!$M216&gt;Vanzari!$L216,"PROFIT","PIERDERE")</f>
        <v>PROFIT</v>
      </c>
      <c r="O216" s="15">
        <f>Vanzari!$M216-Vanzari!$L216</f>
        <v>1402.7190000000003</v>
      </c>
      <c r="P216" s="15" cm="1">
        <f t="array" ref="P216">ProfitImpozitat(Vanzari!$O216)</f>
        <v>1262.4471000000003</v>
      </c>
    </row>
    <row r="217" spans="1:16" x14ac:dyDescent="0.2">
      <c r="A217" s="14">
        <v>44820</v>
      </c>
      <c r="B217" s="7" t="s">
        <v>5</v>
      </c>
      <c r="C217" s="7" t="s">
        <v>5</v>
      </c>
      <c r="D217" s="7" t="s">
        <v>53</v>
      </c>
      <c r="E217" s="7" t="s">
        <v>7</v>
      </c>
      <c r="F217" s="7">
        <v>200</v>
      </c>
      <c r="G217" s="15">
        <v>0.98</v>
      </c>
      <c r="H217" s="15">
        <v>1.28</v>
      </c>
      <c r="I217" s="15" t="str">
        <f>IF(Vanzari!$D217="Băuturi alcoolice şi ţigări","ACCIZA","TVA")</f>
        <v>TVA</v>
      </c>
      <c r="J217" s="15">
        <f>IF(Vanzari!$D217="Băuturi alcoolice şi ţigări",Vanzari!$H217*0.05,Vanzari!$H217*0.09)</f>
        <v>0.1152</v>
      </c>
      <c r="K217" s="15">
        <f>SUM(Vanzari!$H217,Vanzari!$J217)</f>
        <v>1.3952</v>
      </c>
      <c r="L217" s="15">
        <f>Vanzari!$F217*Vanzari!$G217</f>
        <v>196</v>
      </c>
      <c r="M217" s="15">
        <f>Vanzari!$F217*Vanzari!$K217</f>
        <v>279.04000000000002</v>
      </c>
      <c r="N217" s="15" t="str">
        <f>IF(Vanzari!$M217&gt;Vanzari!$L217,"PROFIT","PIERDERE")</f>
        <v>PROFIT</v>
      </c>
      <c r="O217" s="15">
        <f>Vanzari!$M217-Vanzari!$L217</f>
        <v>83.04000000000002</v>
      </c>
      <c r="P217" s="15" cm="1">
        <f t="array" ref="P217">ProfitImpozitat(Vanzari!$O217)</f>
        <v>83.04000000000002</v>
      </c>
    </row>
    <row r="218" spans="1:16" x14ac:dyDescent="0.2">
      <c r="A218" s="14">
        <v>44832</v>
      </c>
      <c r="B218" s="7" t="s">
        <v>6</v>
      </c>
      <c r="C218" s="7" t="s">
        <v>59</v>
      </c>
      <c r="D218" s="7" t="s">
        <v>53</v>
      </c>
      <c r="E218" s="7" t="s">
        <v>7</v>
      </c>
      <c r="F218" s="7">
        <v>211</v>
      </c>
      <c r="G218" s="15">
        <v>0.98</v>
      </c>
      <c r="H218" s="15">
        <v>1.28</v>
      </c>
      <c r="I218" s="15" t="str">
        <f>IF(Vanzari!$D218="Băuturi alcoolice şi ţigări","ACCIZA","TVA")</f>
        <v>TVA</v>
      </c>
      <c r="J218" s="15">
        <f>IF(Vanzari!$D218="Băuturi alcoolice şi ţigări",Vanzari!$H218*0.05,Vanzari!$H218*0.09)</f>
        <v>0.1152</v>
      </c>
      <c r="K218" s="15">
        <f>SUM(Vanzari!$H218,Vanzari!$J218)</f>
        <v>1.3952</v>
      </c>
      <c r="L218" s="15">
        <f>Vanzari!$F218*Vanzari!$G218</f>
        <v>206.78</v>
      </c>
      <c r="M218" s="15">
        <f>Vanzari!$F218*Vanzari!$K218</f>
        <v>294.38720000000001</v>
      </c>
      <c r="N218" s="15" t="str">
        <f>IF(Vanzari!$M218&gt;Vanzari!$L218,"PROFIT","PIERDERE")</f>
        <v>PROFIT</v>
      </c>
      <c r="O218" s="15">
        <f>Vanzari!$M218-Vanzari!$L218</f>
        <v>87.607200000000006</v>
      </c>
      <c r="P218" s="15" cm="1">
        <f t="array" ref="P218">ProfitImpozitat(Vanzari!$O218)</f>
        <v>87.607200000000006</v>
      </c>
    </row>
    <row r="219" spans="1:16" x14ac:dyDescent="0.2">
      <c r="A219" s="14">
        <v>44787</v>
      </c>
      <c r="B219" s="7" t="s">
        <v>6</v>
      </c>
      <c r="C219" s="7" t="s">
        <v>59</v>
      </c>
      <c r="D219" s="7" t="s">
        <v>53</v>
      </c>
      <c r="E219" s="7" t="s">
        <v>7</v>
      </c>
      <c r="F219" s="7">
        <v>221</v>
      </c>
      <c r="G219" s="15">
        <v>0.98</v>
      </c>
      <c r="H219" s="15">
        <v>1.28</v>
      </c>
      <c r="I219" s="15" t="str">
        <f>IF(Vanzari!$D219="Băuturi alcoolice şi ţigări","ACCIZA","TVA")</f>
        <v>TVA</v>
      </c>
      <c r="J219" s="15">
        <f>IF(Vanzari!$D219="Băuturi alcoolice şi ţigări",Vanzari!$H219*0.05,Vanzari!$H219*0.09)</f>
        <v>0.1152</v>
      </c>
      <c r="K219" s="15">
        <f>SUM(Vanzari!$H219,Vanzari!$J219)</f>
        <v>1.3952</v>
      </c>
      <c r="L219" s="15">
        <f>Vanzari!$F219*Vanzari!$G219</f>
        <v>216.57999999999998</v>
      </c>
      <c r="M219" s="15">
        <f>Vanzari!$F219*Vanzari!$K219</f>
        <v>308.33920000000001</v>
      </c>
      <c r="N219" s="15" t="str">
        <f>IF(Vanzari!$M219&gt;Vanzari!$L219,"PROFIT","PIERDERE")</f>
        <v>PROFIT</v>
      </c>
      <c r="O219" s="15">
        <f>Vanzari!$M219-Vanzari!$L219</f>
        <v>91.759200000000021</v>
      </c>
      <c r="P219" s="15" cm="1">
        <f t="array" ref="P219">ProfitImpozitat(Vanzari!$O219)</f>
        <v>91.759200000000021</v>
      </c>
    </row>
    <row r="220" spans="1:16" x14ac:dyDescent="0.2">
      <c r="A220" s="14">
        <v>44670</v>
      </c>
      <c r="B220" s="7" t="s">
        <v>5</v>
      </c>
      <c r="C220" s="7" t="s">
        <v>5</v>
      </c>
      <c r="D220" s="7" t="s">
        <v>53</v>
      </c>
      <c r="E220" s="7" t="s">
        <v>7</v>
      </c>
      <c r="F220" s="7">
        <v>240</v>
      </c>
      <c r="G220" s="15">
        <v>0.98</v>
      </c>
      <c r="H220" s="15">
        <v>1.28</v>
      </c>
      <c r="I220" s="15" t="str">
        <f>IF(Vanzari!$D220="Băuturi alcoolice şi ţigări","ACCIZA","TVA")</f>
        <v>TVA</v>
      </c>
      <c r="J220" s="15">
        <f>IF(Vanzari!$D220="Băuturi alcoolice şi ţigări",Vanzari!$H220*0.05,Vanzari!$H220*0.09)</f>
        <v>0.1152</v>
      </c>
      <c r="K220" s="15">
        <f>SUM(Vanzari!$H220,Vanzari!$J220)</f>
        <v>1.3952</v>
      </c>
      <c r="L220" s="15">
        <f>Vanzari!$F220*Vanzari!$G220</f>
        <v>235.2</v>
      </c>
      <c r="M220" s="15">
        <f>Vanzari!$F220*Vanzari!$K220</f>
        <v>334.84800000000001</v>
      </c>
      <c r="N220" s="15" t="str">
        <f>IF(Vanzari!$M220&gt;Vanzari!$L220,"PROFIT","PIERDERE")</f>
        <v>PROFIT</v>
      </c>
      <c r="O220" s="15">
        <f>Vanzari!$M220-Vanzari!$L220</f>
        <v>99.648000000000025</v>
      </c>
      <c r="P220" s="15" cm="1">
        <f t="array" ref="P220">ProfitImpozitat(Vanzari!$O220)</f>
        <v>99.648000000000025</v>
      </c>
    </row>
    <row r="221" spans="1:16" x14ac:dyDescent="0.2">
      <c r="A221" s="14">
        <v>44865</v>
      </c>
      <c r="B221" s="7" t="s">
        <v>5</v>
      </c>
      <c r="C221" s="7" t="s">
        <v>5</v>
      </c>
      <c r="D221" s="7" t="s">
        <v>53</v>
      </c>
      <c r="E221" s="7" t="s">
        <v>7</v>
      </c>
      <c r="F221" s="7">
        <v>250</v>
      </c>
      <c r="G221" s="15">
        <v>0.98</v>
      </c>
      <c r="H221" s="15">
        <v>1.28</v>
      </c>
      <c r="I221" s="15" t="str">
        <f>IF(Vanzari!$D221="Băuturi alcoolice şi ţigări","ACCIZA","TVA")</f>
        <v>TVA</v>
      </c>
      <c r="J221" s="15">
        <f>IF(Vanzari!$D221="Băuturi alcoolice şi ţigări",Vanzari!$H221*0.05,Vanzari!$H221*0.09)</f>
        <v>0.1152</v>
      </c>
      <c r="K221" s="15">
        <f>SUM(Vanzari!$H221,Vanzari!$J221)</f>
        <v>1.3952</v>
      </c>
      <c r="L221" s="15">
        <f>Vanzari!$F221*Vanzari!$G221</f>
        <v>245</v>
      </c>
      <c r="M221" s="15">
        <f>Vanzari!$F221*Vanzari!$K221</f>
        <v>348.8</v>
      </c>
      <c r="N221" s="15" t="str">
        <f>IF(Vanzari!$M221&gt;Vanzari!$L221,"PROFIT","PIERDERE")</f>
        <v>PROFIT</v>
      </c>
      <c r="O221" s="15">
        <f>Vanzari!$M221-Vanzari!$L221</f>
        <v>103.80000000000001</v>
      </c>
      <c r="P221" s="15" cm="1">
        <f t="array" ref="P221">ProfitImpozitat(Vanzari!$O221)</f>
        <v>102.76200000000001</v>
      </c>
    </row>
    <row r="222" spans="1:16" x14ac:dyDescent="0.2">
      <c r="A222" s="14">
        <v>44808</v>
      </c>
      <c r="B222" s="7" t="s">
        <v>6</v>
      </c>
      <c r="C222" s="7" t="s">
        <v>59</v>
      </c>
      <c r="D222" s="7" t="s">
        <v>53</v>
      </c>
      <c r="E222" s="7" t="s">
        <v>7</v>
      </c>
      <c r="F222" s="7">
        <v>264</v>
      </c>
      <c r="G222" s="15">
        <v>0.98</v>
      </c>
      <c r="H222" s="15">
        <v>1.28</v>
      </c>
      <c r="I222" s="15" t="str">
        <f>IF(Vanzari!$D222="Băuturi alcoolice şi ţigări","ACCIZA","TVA")</f>
        <v>TVA</v>
      </c>
      <c r="J222" s="15">
        <f>IF(Vanzari!$D222="Băuturi alcoolice şi ţigări",Vanzari!$H222*0.05,Vanzari!$H222*0.09)</f>
        <v>0.1152</v>
      </c>
      <c r="K222" s="15">
        <f>SUM(Vanzari!$H222,Vanzari!$J222)</f>
        <v>1.3952</v>
      </c>
      <c r="L222" s="15">
        <f>Vanzari!$F222*Vanzari!$G222</f>
        <v>258.71999999999997</v>
      </c>
      <c r="M222" s="15">
        <f>Vanzari!$F222*Vanzari!$K222</f>
        <v>368.33280000000002</v>
      </c>
      <c r="N222" s="15" t="str">
        <f>IF(Vanzari!$M222&gt;Vanzari!$L222,"PROFIT","PIERDERE")</f>
        <v>PROFIT</v>
      </c>
      <c r="O222" s="15">
        <f>Vanzari!$M222-Vanzari!$L222</f>
        <v>109.61280000000005</v>
      </c>
      <c r="P222" s="15" cm="1">
        <f t="array" ref="P222">ProfitImpozitat(Vanzari!$O222)</f>
        <v>108.51667200000004</v>
      </c>
    </row>
    <row r="223" spans="1:16" x14ac:dyDescent="0.2">
      <c r="A223" s="14">
        <v>44305</v>
      </c>
      <c r="B223" s="7" t="s">
        <v>6</v>
      </c>
      <c r="C223" s="7" t="s">
        <v>59</v>
      </c>
      <c r="D223" s="7" t="s">
        <v>53</v>
      </c>
      <c r="E223" s="7" t="s">
        <v>58</v>
      </c>
      <c r="F223" s="7">
        <v>134</v>
      </c>
      <c r="G223" s="15">
        <v>2.74</v>
      </c>
      <c r="H223" s="15">
        <v>3.35</v>
      </c>
      <c r="I223" s="15" t="str">
        <f>IF(Vanzari!$D223="Băuturi alcoolice şi ţigări","ACCIZA","TVA")</f>
        <v>TVA</v>
      </c>
      <c r="J223" s="15">
        <f>IF(Vanzari!$D223="Băuturi alcoolice şi ţigări",Vanzari!$H223*0.05,Vanzari!$H223*0.09)</f>
        <v>0.30149999999999999</v>
      </c>
      <c r="K223" s="15">
        <f>SUM(Vanzari!$H223,Vanzari!$J223)</f>
        <v>3.6515</v>
      </c>
      <c r="L223" s="15">
        <f>Vanzari!$F223*Vanzari!$G223</f>
        <v>367.16</v>
      </c>
      <c r="M223" s="15">
        <f>Vanzari!$F223*Vanzari!$K223</f>
        <v>489.30099999999999</v>
      </c>
      <c r="N223" s="15" t="str">
        <f>IF(Vanzari!$M223&gt;Vanzari!$L223,"PROFIT","PIERDERE")</f>
        <v>PROFIT</v>
      </c>
      <c r="O223" s="15">
        <f>Vanzari!$M223-Vanzari!$L223</f>
        <v>122.14099999999996</v>
      </c>
      <c r="P223" s="15" cm="1">
        <f t="array" ref="P223">ProfitImpozitat(Vanzari!$O223)</f>
        <v>120.91958999999996</v>
      </c>
    </row>
    <row r="224" spans="1:16" x14ac:dyDescent="0.2">
      <c r="A224" s="14">
        <v>44700</v>
      </c>
      <c r="B224" s="7" t="s">
        <v>6</v>
      </c>
      <c r="C224" s="7" t="s">
        <v>59</v>
      </c>
      <c r="D224" s="7" t="s">
        <v>53</v>
      </c>
      <c r="E224" s="7" t="s">
        <v>7</v>
      </c>
      <c r="F224" s="7">
        <v>300</v>
      </c>
      <c r="G224" s="15">
        <v>0.98</v>
      </c>
      <c r="H224" s="15">
        <v>1.28</v>
      </c>
      <c r="I224" s="15" t="str">
        <f>IF(Vanzari!$D224="Băuturi alcoolice şi ţigări","ACCIZA","TVA")</f>
        <v>TVA</v>
      </c>
      <c r="J224" s="15">
        <f>IF(Vanzari!$D224="Băuturi alcoolice şi ţigări",Vanzari!$H224*0.05,Vanzari!$H224*0.09)</f>
        <v>0.1152</v>
      </c>
      <c r="K224" s="15">
        <f>SUM(Vanzari!$H224,Vanzari!$J224)</f>
        <v>1.3952</v>
      </c>
      <c r="L224" s="15">
        <f>Vanzari!$F224*Vanzari!$G224</f>
        <v>294</v>
      </c>
      <c r="M224" s="15">
        <f>Vanzari!$F224*Vanzari!$K224</f>
        <v>418.56</v>
      </c>
      <c r="N224" s="15" t="str">
        <f>IF(Vanzari!$M224&gt;Vanzari!$L224,"PROFIT","PIERDERE")</f>
        <v>PROFIT</v>
      </c>
      <c r="O224" s="15">
        <f>Vanzari!$M224-Vanzari!$L224</f>
        <v>124.56</v>
      </c>
      <c r="P224" s="15" cm="1">
        <f t="array" ref="P224">ProfitImpozitat(Vanzari!$O224)</f>
        <v>123.31440000000001</v>
      </c>
    </row>
    <row r="225" spans="1:16" x14ac:dyDescent="0.2">
      <c r="A225" s="14">
        <v>44479</v>
      </c>
      <c r="B225" s="7" t="s">
        <v>1</v>
      </c>
      <c r="C225" s="7" t="s">
        <v>0</v>
      </c>
      <c r="D225" s="7" t="s">
        <v>53</v>
      </c>
      <c r="E225" s="7" t="s">
        <v>17</v>
      </c>
      <c r="F225" s="7">
        <v>114</v>
      </c>
      <c r="G225" s="15">
        <v>0.52</v>
      </c>
      <c r="H225" s="15">
        <v>1.6800000000000002</v>
      </c>
      <c r="I225" s="15" t="str">
        <f>IF(Vanzari!$D225="Băuturi alcoolice şi ţigări","ACCIZA","TVA")</f>
        <v>TVA</v>
      </c>
      <c r="J225" s="15">
        <f>IF(Vanzari!$D225="Băuturi alcoolice şi ţigări",Vanzari!$H225*0.05,Vanzari!$H225*0.09)</f>
        <v>0.1512</v>
      </c>
      <c r="K225" s="15">
        <f>SUM(Vanzari!$H225,Vanzari!$J225)</f>
        <v>1.8312000000000002</v>
      </c>
      <c r="L225" s="15">
        <f>Vanzari!$F225*Vanzari!$G225</f>
        <v>59.28</v>
      </c>
      <c r="M225" s="15">
        <f>Vanzari!$F225*Vanzari!$K225</f>
        <v>208.75680000000003</v>
      </c>
      <c r="N225" s="15" t="str">
        <f>IF(Vanzari!$M225&gt;Vanzari!$L225,"PROFIT","PIERDERE")</f>
        <v>PROFIT</v>
      </c>
      <c r="O225" s="15">
        <f>Vanzari!$M225-Vanzari!$L225</f>
        <v>149.47680000000003</v>
      </c>
      <c r="P225" s="15" cm="1">
        <f t="array" ref="P225">ProfitImpozitat(Vanzari!$O225)</f>
        <v>147.98203200000003</v>
      </c>
    </row>
    <row r="226" spans="1:16" x14ac:dyDescent="0.2">
      <c r="A226" s="14">
        <v>44242</v>
      </c>
      <c r="B226" s="7" t="s">
        <v>5</v>
      </c>
      <c r="C226" s="7" t="s">
        <v>5</v>
      </c>
      <c r="D226" s="7" t="s">
        <v>53</v>
      </c>
      <c r="E226" s="7" t="s">
        <v>58</v>
      </c>
      <c r="F226" s="7">
        <v>270</v>
      </c>
      <c r="G226" s="15">
        <v>2.74</v>
      </c>
      <c r="H226" s="15">
        <v>3.35</v>
      </c>
      <c r="I226" s="15" t="str">
        <f>IF(Vanzari!$D226="Băuturi alcoolice şi ţigări","ACCIZA","TVA")</f>
        <v>TVA</v>
      </c>
      <c r="J226" s="15">
        <f>IF(Vanzari!$D226="Băuturi alcoolice şi ţigări",Vanzari!$H226*0.05,Vanzari!$H226*0.09)</f>
        <v>0.30149999999999999</v>
      </c>
      <c r="K226" s="15">
        <f>SUM(Vanzari!$H226,Vanzari!$J226)</f>
        <v>3.6515</v>
      </c>
      <c r="L226" s="15">
        <f>Vanzari!$F226*Vanzari!$G226</f>
        <v>739.80000000000007</v>
      </c>
      <c r="M226" s="15">
        <f>Vanzari!$F226*Vanzari!$K226</f>
        <v>985.90499999999997</v>
      </c>
      <c r="N226" s="15" t="str">
        <f>IF(Vanzari!$M226&gt;Vanzari!$L226,"PROFIT","PIERDERE")</f>
        <v>PROFIT</v>
      </c>
      <c r="O226" s="15">
        <f>Vanzari!$M226-Vanzari!$L226</f>
        <v>246.1049999999999</v>
      </c>
      <c r="P226" s="15" cm="1">
        <f t="array" ref="P226">ProfitImpozitat(Vanzari!$O226)</f>
        <v>243.6439499999999</v>
      </c>
    </row>
    <row r="227" spans="1:16" x14ac:dyDescent="0.2">
      <c r="A227" s="14">
        <v>44224</v>
      </c>
      <c r="B227" s="7" t="s">
        <v>5</v>
      </c>
      <c r="C227" s="7" t="s">
        <v>5</v>
      </c>
      <c r="D227" s="7" t="s">
        <v>53</v>
      </c>
      <c r="E227" s="7" t="s">
        <v>58</v>
      </c>
      <c r="F227" s="7">
        <v>280</v>
      </c>
      <c r="G227" s="15">
        <v>2.74</v>
      </c>
      <c r="H227" s="15">
        <v>3.35</v>
      </c>
      <c r="I227" s="15" t="str">
        <f>IF(Vanzari!$D227="Băuturi alcoolice şi ţigări","ACCIZA","TVA")</f>
        <v>TVA</v>
      </c>
      <c r="J227" s="15">
        <f>IF(Vanzari!$D227="Băuturi alcoolice şi ţigări",Vanzari!$H227*0.05,Vanzari!$H227*0.09)</f>
        <v>0.30149999999999999</v>
      </c>
      <c r="K227" s="15">
        <f>SUM(Vanzari!$H227,Vanzari!$J227)</f>
        <v>3.6515</v>
      </c>
      <c r="L227" s="15">
        <f>Vanzari!$F227*Vanzari!$G227</f>
        <v>767.2</v>
      </c>
      <c r="M227" s="15">
        <f>Vanzari!$F227*Vanzari!$K227</f>
        <v>1022.42</v>
      </c>
      <c r="N227" s="15" t="str">
        <f>IF(Vanzari!$M227&gt;Vanzari!$L227,"PROFIT","PIERDERE")</f>
        <v>PROFIT</v>
      </c>
      <c r="O227" s="15">
        <f>Vanzari!$M227-Vanzari!$L227</f>
        <v>255.21999999999991</v>
      </c>
      <c r="P227" s="15" cm="1">
        <f t="array" ref="P227">ProfitImpozitat(Vanzari!$O227)</f>
        <v>252.66779999999991</v>
      </c>
    </row>
    <row r="228" spans="1:16" x14ac:dyDescent="0.2">
      <c r="A228" s="14">
        <v>44275</v>
      </c>
      <c r="B228" s="7" t="s">
        <v>5</v>
      </c>
      <c r="C228" s="7" t="s">
        <v>5</v>
      </c>
      <c r="D228" s="7" t="s">
        <v>53</v>
      </c>
      <c r="E228" s="7" t="s">
        <v>58</v>
      </c>
      <c r="F228" s="7">
        <v>285</v>
      </c>
      <c r="G228" s="15">
        <v>2.74</v>
      </c>
      <c r="H228" s="15">
        <v>3.35</v>
      </c>
      <c r="I228" s="15" t="str">
        <f>IF(Vanzari!$D228="Băuturi alcoolice şi ţigări","ACCIZA","TVA")</f>
        <v>TVA</v>
      </c>
      <c r="J228" s="15">
        <f>IF(Vanzari!$D228="Băuturi alcoolice şi ţigări",Vanzari!$H228*0.05,Vanzari!$H228*0.09)</f>
        <v>0.30149999999999999</v>
      </c>
      <c r="K228" s="15">
        <f>SUM(Vanzari!$H228,Vanzari!$J228)</f>
        <v>3.6515</v>
      </c>
      <c r="L228" s="15">
        <f>Vanzari!$F228*Vanzari!$G228</f>
        <v>780.90000000000009</v>
      </c>
      <c r="M228" s="15">
        <f>Vanzari!$F228*Vanzari!$K228</f>
        <v>1040.6775</v>
      </c>
      <c r="N228" s="15" t="str">
        <f>IF(Vanzari!$M228&gt;Vanzari!$L228,"PROFIT","PIERDERE")</f>
        <v>PROFIT</v>
      </c>
      <c r="O228" s="15">
        <f>Vanzari!$M228-Vanzari!$L228</f>
        <v>259.77749999999992</v>
      </c>
      <c r="P228" s="15" cm="1">
        <f t="array" ref="P228">ProfitImpozitat(Vanzari!$O228)</f>
        <v>257.17972499999991</v>
      </c>
    </row>
    <row r="229" spans="1:16" x14ac:dyDescent="0.2">
      <c r="A229" s="14">
        <v>44299</v>
      </c>
      <c r="B229" s="7" t="s">
        <v>60</v>
      </c>
      <c r="C229" s="7" t="s">
        <v>60</v>
      </c>
      <c r="D229" s="7" t="s">
        <v>53</v>
      </c>
      <c r="E229" s="7" t="s">
        <v>58</v>
      </c>
      <c r="F229" s="7">
        <v>285</v>
      </c>
      <c r="G229" s="15">
        <v>2.74</v>
      </c>
      <c r="H229" s="15">
        <v>3.35</v>
      </c>
      <c r="I229" s="15" t="str">
        <f>IF(Vanzari!$D229="Băuturi alcoolice şi ţigări","ACCIZA","TVA")</f>
        <v>TVA</v>
      </c>
      <c r="J229" s="15">
        <f>IF(Vanzari!$D229="Băuturi alcoolice şi ţigări",Vanzari!$H229*0.05,Vanzari!$H229*0.09)</f>
        <v>0.30149999999999999</v>
      </c>
      <c r="K229" s="15">
        <f>SUM(Vanzari!$H229,Vanzari!$J229)</f>
        <v>3.6515</v>
      </c>
      <c r="L229" s="15">
        <f>Vanzari!$F229*Vanzari!$G229</f>
        <v>780.90000000000009</v>
      </c>
      <c r="M229" s="15">
        <f>Vanzari!$F229*Vanzari!$K229</f>
        <v>1040.6775</v>
      </c>
      <c r="N229" s="15" t="str">
        <f>IF(Vanzari!$M229&gt;Vanzari!$L229,"PROFIT","PIERDERE")</f>
        <v>PROFIT</v>
      </c>
      <c r="O229" s="15">
        <f>Vanzari!$M229-Vanzari!$L229</f>
        <v>259.77749999999992</v>
      </c>
      <c r="P229" s="15" cm="1">
        <f t="array" ref="P229">ProfitImpozitat(Vanzari!$O229)</f>
        <v>257.17972499999991</v>
      </c>
    </row>
    <row r="230" spans="1:16" x14ac:dyDescent="0.2">
      <c r="A230" s="14">
        <v>44605</v>
      </c>
      <c r="B230" s="7" t="s">
        <v>5</v>
      </c>
      <c r="C230" s="7" t="s">
        <v>5</v>
      </c>
      <c r="D230" s="7" t="s">
        <v>53</v>
      </c>
      <c r="E230" s="7" t="s">
        <v>17</v>
      </c>
      <c r="F230" s="7">
        <v>210</v>
      </c>
      <c r="G230" s="15">
        <v>0.52</v>
      </c>
      <c r="H230" s="15">
        <v>1.6800000000000002</v>
      </c>
      <c r="I230" s="15" t="str">
        <f>IF(Vanzari!$D230="Băuturi alcoolice şi ţigări","ACCIZA","TVA")</f>
        <v>TVA</v>
      </c>
      <c r="J230" s="15">
        <f>IF(Vanzari!$D230="Băuturi alcoolice şi ţigări",Vanzari!$H230*0.05,Vanzari!$H230*0.09)</f>
        <v>0.1512</v>
      </c>
      <c r="K230" s="15">
        <f>SUM(Vanzari!$H230,Vanzari!$J230)</f>
        <v>1.8312000000000002</v>
      </c>
      <c r="L230" s="15">
        <f>Vanzari!$F230*Vanzari!$G230</f>
        <v>109.2</v>
      </c>
      <c r="M230" s="15">
        <f>Vanzari!$F230*Vanzari!$K230</f>
        <v>384.55200000000002</v>
      </c>
      <c r="N230" s="15" t="str">
        <f>IF(Vanzari!$M230&gt;Vanzari!$L230,"PROFIT","PIERDERE")</f>
        <v>PROFIT</v>
      </c>
      <c r="O230" s="15">
        <f>Vanzari!$M230-Vanzari!$L230</f>
        <v>275.35200000000003</v>
      </c>
      <c r="P230" s="15" cm="1">
        <f t="array" ref="P230">ProfitImpozitat(Vanzari!$O230)</f>
        <v>272.59848000000005</v>
      </c>
    </row>
    <row r="231" spans="1:16" x14ac:dyDescent="0.2">
      <c r="A231" s="14">
        <v>44593</v>
      </c>
      <c r="B231" s="7" t="s">
        <v>6</v>
      </c>
      <c r="C231" s="7" t="s">
        <v>59</v>
      </c>
      <c r="D231" s="7" t="s">
        <v>53</v>
      </c>
      <c r="E231" s="7" t="s">
        <v>17</v>
      </c>
      <c r="F231" s="7">
        <v>240</v>
      </c>
      <c r="G231" s="15">
        <v>0.52</v>
      </c>
      <c r="H231" s="15">
        <v>1.68</v>
      </c>
      <c r="I231" s="15" t="str">
        <f>IF(Vanzari!$D231="Băuturi alcoolice şi ţigări","ACCIZA","TVA")</f>
        <v>TVA</v>
      </c>
      <c r="J231" s="15">
        <f>IF(Vanzari!$D231="Băuturi alcoolice şi ţigări",Vanzari!$H231*0.05,Vanzari!$H231*0.09)</f>
        <v>0.1512</v>
      </c>
      <c r="K231" s="15">
        <f>SUM(Vanzari!$H231,Vanzari!$J231)</f>
        <v>1.8311999999999999</v>
      </c>
      <c r="L231" s="15">
        <f>Vanzari!$F231*Vanzari!$G231</f>
        <v>124.80000000000001</v>
      </c>
      <c r="M231" s="15">
        <f>Vanzari!$F231*Vanzari!$K231</f>
        <v>439.488</v>
      </c>
      <c r="N231" s="15" t="str">
        <f>IF(Vanzari!$M231&gt;Vanzari!$L231,"PROFIT","PIERDERE")</f>
        <v>PROFIT</v>
      </c>
      <c r="O231" s="15">
        <f>Vanzari!$M231-Vanzari!$L231</f>
        <v>314.68799999999999</v>
      </c>
      <c r="P231" s="15" cm="1">
        <f t="array" ref="P231">ProfitImpozitat(Vanzari!$O231)</f>
        <v>311.54111999999998</v>
      </c>
    </row>
    <row r="232" spans="1:16" x14ac:dyDescent="0.2">
      <c r="A232" s="14">
        <v>44371</v>
      </c>
      <c r="B232" s="7" t="s">
        <v>1</v>
      </c>
      <c r="C232" s="7" t="s">
        <v>0</v>
      </c>
      <c r="D232" s="7" t="s">
        <v>53</v>
      </c>
      <c r="E232" s="7" t="s">
        <v>57</v>
      </c>
      <c r="F232" s="7">
        <v>285</v>
      </c>
      <c r="G232" s="15">
        <v>0.67</v>
      </c>
      <c r="H232" s="15">
        <v>1.68</v>
      </c>
      <c r="I232" s="15" t="str">
        <f>IF(Vanzari!$D232="Băuturi alcoolice şi ţigări","ACCIZA","TVA")</f>
        <v>TVA</v>
      </c>
      <c r="J232" s="15">
        <f>IF(Vanzari!$D232="Băuturi alcoolice şi ţigări",Vanzari!$H232*0.05,Vanzari!$H232*0.09)</f>
        <v>0.1512</v>
      </c>
      <c r="K232" s="15">
        <f>SUM(Vanzari!$H232,Vanzari!$J232)</f>
        <v>1.8311999999999999</v>
      </c>
      <c r="L232" s="15">
        <f>Vanzari!$F232*Vanzari!$G232</f>
        <v>190.95000000000002</v>
      </c>
      <c r="M232" s="15">
        <f>Vanzari!$F232*Vanzari!$K232</f>
        <v>521.89199999999994</v>
      </c>
      <c r="N232" s="15" t="str">
        <f>IF(Vanzari!$M232&gt;Vanzari!$L232,"PROFIT","PIERDERE")</f>
        <v>PROFIT</v>
      </c>
      <c r="O232" s="15">
        <f>Vanzari!$M232-Vanzari!$L232</f>
        <v>330.94199999999989</v>
      </c>
      <c r="P232" s="15" cm="1">
        <f t="array" ref="P232">ProfitImpozitat(Vanzari!$O232)</f>
        <v>327.6325799999999</v>
      </c>
    </row>
    <row r="233" spans="1:16" x14ac:dyDescent="0.2">
      <c r="A233" s="14">
        <v>44404</v>
      </c>
      <c r="B233" s="7" t="s">
        <v>60</v>
      </c>
      <c r="C233" s="7" t="s">
        <v>60</v>
      </c>
      <c r="D233" s="7" t="s">
        <v>53</v>
      </c>
      <c r="E233" s="7" t="s">
        <v>57</v>
      </c>
      <c r="F233" s="7">
        <v>310</v>
      </c>
      <c r="G233" s="15">
        <v>0.67</v>
      </c>
      <c r="H233" s="15">
        <v>1.68</v>
      </c>
      <c r="I233" s="15" t="str">
        <f>IF(Vanzari!$D233="Băuturi alcoolice şi ţigări","ACCIZA","TVA")</f>
        <v>TVA</v>
      </c>
      <c r="J233" s="15">
        <f>IF(Vanzari!$D233="Băuturi alcoolice şi ţigări",Vanzari!$H233*0.05,Vanzari!$H233*0.09)</f>
        <v>0.1512</v>
      </c>
      <c r="K233" s="15">
        <f>SUM(Vanzari!$H233,Vanzari!$J233)</f>
        <v>1.8311999999999999</v>
      </c>
      <c r="L233" s="15">
        <f>Vanzari!$F233*Vanzari!$G233</f>
        <v>207.70000000000002</v>
      </c>
      <c r="M233" s="15">
        <f>Vanzari!$F233*Vanzari!$K233</f>
        <v>567.67200000000003</v>
      </c>
      <c r="N233" s="15" t="str">
        <f>IF(Vanzari!$M233&gt;Vanzari!$L233,"PROFIT","PIERDERE")</f>
        <v>PROFIT</v>
      </c>
      <c r="O233" s="15">
        <f>Vanzari!$M233-Vanzari!$L233</f>
        <v>359.97199999999998</v>
      </c>
      <c r="P233" s="15" cm="1">
        <f t="array" ref="P233">ProfitImpozitat(Vanzari!$O233)</f>
        <v>356.37227999999999</v>
      </c>
    </row>
    <row r="234" spans="1:16" x14ac:dyDescent="0.2">
      <c r="A234" s="14">
        <v>44527</v>
      </c>
      <c r="B234" s="7" t="s">
        <v>1</v>
      </c>
      <c r="C234" s="7" t="s">
        <v>0</v>
      </c>
      <c r="D234" s="7" t="s">
        <v>53</v>
      </c>
      <c r="E234" s="7" t="s">
        <v>17</v>
      </c>
      <c r="F234" s="7">
        <v>290</v>
      </c>
      <c r="G234" s="15">
        <v>0.52</v>
      </c>
      <c r="H234" s="15">
        <v>1.68</v>
      </c>
      <c r="I234" s="15" t="str">
        <f>IF(Vanzari!$D234="Băuturi alcoolice şi ţigări","ACCIZA","TVA")</f>
        <v>TVA</v>
      </c>
      <c r="J234" s="15">
        <f>IF(Vanzari!$D234="Băuturi alcoolice şi ţigări",Vanzari!$H234*0.05,Vanzari!$H234*0.09)</f>
        <v>0.1512</v>
      </c>
      <c r="K234" s="15">
        <f>SUM(Vanzari!$H234,Vanzari!$J234)</f>
        <v>1.8311999999999999</v>
      </c>
      <c r="L234" s="15">
        <f>Vanzari!$F234*Vanzari!$G234</f>
        <v>150.80000000000001</v>
      </c>
      <c r="M234" s="15">
        <f>Vanzari!$F234*Vanzari!$K234</f>
        <v>531.048</v>
      </c>
      <c r="N234" s="15" t="str">
        <f>IF(Vanzari!$M234&gt;Vanzari!$L234,"PROFIT","PIERDERE")</f>
        <v>PROFIT</v>
      </c>
      <c r="O234" s="15">
        <f>Vanzari!$M234-Vanzari!$L234</f>
        <v>380.24799999999999</v>
      </c>
      <c r="P234" s="15" cm="1">
        <f t="array" ref="P234">ProfitImpozitat(Vanzari!$O234)</f>
        <v>376.44551999999999</v>
      </c>
    </row>
    <row r="235" spans="1:16" x14ac:dyDescent="0.2">
      <c r="A235" s="14">
        <v>44551</v>
      </c>
      <c r="B235" s="7" t="s">
        <v>1</v>
      </c>
      <c r="C235" s="7" t="s">
        <v>0</v>
      </c>
      <c r="D235" s="7" t="s">
        <v>53</v>
      </c>
      <c r="E235" s="7" t="s">
        <v>17</v>
      </c>
      <c r="F235" s="7">
        <v>290</v>
      </c>
      <c r="G235" s="15">
        <v>0.52</v>
      </c>
      <c r="H235" s="15">
        <v>1.68</v>
      </c>
      <c r="I235" s="15" t="str">
        <f>IF(Vanzari!$D235="Băuturi alcoolice şi ţigări","ACCIZA","TVA")</f>
        <v>TVA</v>
      </c>
      <c r="J235" s="15">
        <f>IF(Vanzari!$D235="Băuturi alcoolice şi ţigări",Vanzari!$H235*0.05,Vanzari!$H235*0.09)</f>
        <v>0.1512</v>
      </c>
      <c r="K235" s="15">
        <f>SUM(Vanzari!$H235,Vanzari!$J235)</f>
        <v>1.8311999999999999</v>
      </c>
      <c r="L235" s="15">
        <f>Vanzari!$F235*Vanzari!$G235</f>
        <v>150.80000000000001</v>
      </c>
      <c r="M235" s="15">
        <f>Vanzari!$F235*Vanzari!$K235</f>
        <v>531.048</v>
      </c>
      <c r="N235" s="15" t="str">
        <f>IF(Vanzari!$M235&gt;Vanzari!$L235,"PROFIT","PIERDERE")</f>
        <v>PROFIT</v>
      </c>
      <c r="O235" s="15">
        <f>Vanzari!$M235-Vanzari!$L235</f>
        <v>380.24799999999999</v>
      </c>
      <c r="P235" s="15" cm="1">
        <f t="array" ref="P235">ProfitImpozitat(Vanzari!$O235)</f>
        <v>376.44551999999999</v>
      </c>
    </row>
    <row r="236" spans="1:16" x14ac:dyDescent="0.2">
      <c r="A236" s="14">
        <v>44569</v>
      </c>
      <c r="B236" s="7" t="s">
        <v>6</v>
      </c>
      <c r="C236" s="7" t="s">
        <v>59</v>
      </c>
      <c r="D236" s="7" t="s">
        <v>53</v>
      </c>
      <c r="E236" s="7" t="s">
        <v>17</v>
      </c>
      <c r="F236" s="7">
        <v>290</v>
      </c>
      <c r="G236" s="15">
        <v>0.52</v>
      </c>
      <c r="H236" s="15">
        <v>1.68</v>
      </c>
      <c r="I236" s="15" t="str">
        <f>IF(Vanzari!$D236="Băuturi alcoolice şi ţigări","ACCIZA","TVA")</f>
        <v>TVA</v>
      </c>
      <c r="J236" s="15">
        <f>IF(Vanzari!$D236="Băuturi alcoolice şi ţigări",Vanzari!$H236*0.05,Vanzari!$H236*0.09)</f>
        <v>0.1512</v>
      </c>
      <c r="K236" s="15">
        <f>SUM(Vanzari!$H236,Vanzari!$J236)</f>
        <v>1.8311999999999999</v>
      </c>
      <c r="L236" s="15">
        <f>Vanzari!$F236*Vanzari!$G236</f>
        <v>150.80000000000001</v>
      </c>
      <c r="M236" s="15">
        <f>Vanzari!$F236*Vanzari!$K236</f>
        <v>531.048</v>
      </c>
      <c r="N236" s="15" t="str">
        <f>IF(Vanzari!$M236&gt;Vanzari!$L236,"PROFIT","PIERDERE")</f>
        <v>PROFIT</v>
      </c>
      <c r="O236" s="15">
        <f>Vanzari!$M236-Vanzari!$L236</f>
        <v>380.24799999999999</v>
      </c>
      <c r="P236" s="15" cm="1">
        <f t="array" ref="P236">ProfitImpozitat(Vanzari!$O236)</f>
        <v>376.44551999999999</v>
      </c>
    </row>
    <row r="237" spans="1:16" x14ac:dyDescent="0.2">
      <c r="A237" s="14">
        <v>44643</v>
      </c>
      <c r="B237" s="7" t="s">
        <v>1</v>
      </c>
      <c r="C237" s="7" t="s">
        <v>0</v>
      </c>
      <c r="D237" s="7" t="s">
        <v>53</v>
      </c>
      <c r="E237" s="7" t="s">
        <v>17</v>
      </c>
      <c r="F237" s="7">
        <v>330</v>
      </c>
      <c r="G237" s="15">
        <v>0.52</v>
      </c>
      <c r="H237" s="15">
        <v>1.68</v>
      </c>
      <c r="I237" s="15" t="str">
        <f>IF(Vanzari!$D237="Băuturi alcoolice şi ţigări","ACCIZA","TVA")</f>
        <v>TVA</v>
      </c>
      <c r="J237" s="15">
        <f>IF(Vanzari!$D237="Băuturi alcoolice şi ţigări",Vanzari!$H237*0.05,Vanzari!$H237*0.09)</f>
        <v>0.1512</v>
      </c>
      <c r="K237" s="15">
        <f>SUM(Vanzari!$H237,Vanzari!$J237)</f>
        <v>1.8311999999999999</v>
      </c>
      <c r="L237" s="15">
        <f>Vanzari!$F237*Vanzari!$G237</f>
        <v>171.6</v>
      </c>
      <c r="M237" s="15">
        <f>Vanzari!$F237*Vanzari!$K237</f>
        <v>604.29599999999994</v>
      </c>
      <c r="N237" s="15" t="str">
        <f>IF(Vanzari!$M237&gt;Vanzari!$L237,"PROFIT","PIERDERE")</f>
        <v>PROFIT</v>
      </c>
      <c r="O237" s="15">
        <f>Vanzari!$M237-Vanzari!$L237</f>
        <v>432.69599999999991</v>
      </c>
      <c r="P237" s="15" cm="1">
        <f t="array" ref="P237">ProfitImpozitat(Vanzari!$O237)</f>
        <v>428.36903999999993</v>
      </c>
    </row>
    <row r="238" spans="1:16" x14ac:dyDescent="0.2">
      <c r="A238" s="14">
        <v>44631</v>
      </c>
      <c r="B238" s="7" t="s">
        <v>60</v>
      </c>
      <c r="C238" s="7" t="s">
        <v>60</v>
      </c>
      <c r="D238" s="7" t="s">
        <v>53</v>
      </c>
      <c r="E238" s="7" t="s">
        <v>17</v>
      </c>
      <c r="F238" s="7">
        <v>410</v>
      </c>
      <c r="G238" s="15">
        <v>0.52</v>
      </c>
      <c r="H238" s="15">
        <v>1.68</v>
      </c>
      <c r="I238" s="15" t="str">
        <f>IF(Vanzari!$D238="Băuturi alcoolice şi ţigări","ACCIZA","TVA")</f>
        <v>TVA</v>
      </c>
      <c r="J238" s="15">
        <f>IF(Vanzari!$D238="Băuturi alcoolice şi ţigări",Vanzari!$H238*0.05,Vanzari!$H238*0.09)</f>
        <v>0.1512</v>
      </c>
      <c r="K238" s="15">
        <f>SUM(Vanzari!$H238,Vanzari!$J238)</f>
        <v>1.8311999999999999</v>
      </c>
      <c r="L238" s="15">
        <f>Vanzari!$F238*Vanzari!$G238</f>
        <v>213.20000000000002</v>
      </c>
      <c r="M238" s="15">
        <f>Vanzari!$F238*Vanzari!$K238</f>
        <v>750.79200000000003</v>
      </c>
      <c r="N238" s="15" t="str">
        <f>IF(Vanzari!$M238&gt;Vanzari!$L238,"PROFIT","PIERDERE")</f>
        <v>PROFIT</v>
      </c>
      <c r="O238" s="15">
        <f>Vanzari!$M238-Vanzari!$L238</f>
        <v>537.59199999999998</v>
      </c>
      <c r="P238" s="15" cm="1">
        <f t="array" ref="P238">ProfitImpozitat(Vanzari!$O238)</f>
        <v>510.7124</v>
      </c>
    </row>
    <row r="239" spans="1:16" x14ac:dyDescent="0.2">
      <c r="A239" s="14">
        <v>44335</v>
      </c>
      <c r="B239" s="7" t="s">
        <v>5</v>
      </c>
      <c r="C239" s="7" t="s">
        <v>5</v>
      </c>
      <c r="D239" s="7" t="s">
        <v>53</v>
      </c>
      <c r="E239" s="7" t="s">
        <v>57</v>
      </c>
      <c r="F239" s="7">
        <v>495</v>
      </c>
      <c r="G239" s="15">
        <v>0.67</v>
      </c>
      <c r="H239" s="15">
        <v>1.68</v>
      </c>
      <c r="I239" s="15" t="str">
        <f>IF(Vanzari!$D239="Băuturi alcoolice şi ţigări","ACCIZA","TVA")</f>
        <v>TVA</v>
      </c>
      <c r="J239" s="15">
        <f>IF(Vanzari!$D239="Băuturi alcoolice şi ţigări",Vanzari!$H239*0.05,Vanzari!$H239*0.09)</f>
        <v>0.1512</v>
      </c>
      <c r="K239" s="15">
        <f>SUM(Vanzari!$H239,Vanzari!$J239)</f>
        <v>1.8311999999999999</v>
      </c>
      <c r="L239" s="15">
        <f>Vanzari!$F239*Vanzari!$G239</f>
        <v>331.65000000000003</v>
      </c>
      <c r="M239" s="15">
        <f>Vanzari!$F239*Vanzari!$K239</f>
        <v>906.44399999999996</v>
      </c>
      <c r="N239" s="15" t="str">
        <f>IF(Vanzari!$M239&gt;Vanzari!$L239,"PROFIT","PIERDERE")</f>
        <v>PROFIT</v>
      </c>
      <c r="O239" s="15">
        <f>Vanzari!$M239-Vanzari!$L239</f>
        <v>574.79399999999987</v>
      </c>
      <c r="P239" s="15" cm="1">
        <f t="array" ref="P239">ProfitImpozitat(Vanzari!$O239)</f>
        <v>546.0542999999999</v>
      </c>
    </row>
    <row r="240" spans="1:16" x14ac:dyDescent="0.2">
      <c r="A240" s="14">
        <v>44637</v>
      </c>
      <c r="B240" s="7" t="s">
        <v>6</v>
      </c>
      <c r="C240" s="7" t="s">
        <v>59</v>
      </c>
      <c r="D240" s="7" t="s">
        <v>53</v>
      </c>
      <c r="E240" s="7" t="s">
        <v>17</v>
      </c>
      <c r="F240" s="7">
        <v>470</v>
      </c>
      <c r="G240" s="15">
        <v>0.52</v>
      </c>
      <c r="H240" s="15">
        <v>1.68</v>
      </c>
      <c r="I240" s="15" t="str">
        <f>IF(Vanzari!$D240="Băuturi alcoolice şi ţigări","ACCIZA","TVA")</f>
        <v>TVA</v>
      </c>
      <c r="J240" s="15">
        <f>IF(Vanzari!$D240="Băuturi alcoolice şi ţigări",Vanzari!$H240*0.05,Vanzari!$H240*0.09)</f>
        <v>0.1512</v>
      </c>
      <c r="K240" s="15">
        <f>SUM(Vanzari!$H240,Vanzari!$J240)</f>
        <v>1.8311999999999999</v>
      </c>
      <c r="L240" s="15">
        <f>Vanzari!$F240*Vanzari!$G240</f>
        <v>244.4</v>
      </c>
      <c r="M240" s="15">
        <f>Vanzari!$F240*Vanzari!$K240</f>
        <v>860.66399999999999</v>
      </c>
      <c r="N240" s="15" t="str">
        <f>IF(Vanzari!$M240&gt;Vanzari!$L240,"PROFIT","PIERDERE")</f>
        <v>PROFIT</v>
      </c>
      <c r="O240" s="15">
        <f>Vanzari!$M240-Vanzari!$L240</f>
        <v>616.26400000000001</v>
      </c>
      <c r="P240" s="15" cm="1">
        <f t="array" ref="P240">ProfitImpozitat(Vanzari!$O240)</f>
        <v>585.45079999999996</v>
      </c>
    </row>
    <row r="241" spans="1:16" x14ac:dyDescent="0.2">
      <c r="A241" s="14">
        <v>44290</v>
      </c>
      <c r="B241" s="7" t="s">
        <v>1</v>
      </c>
      <c r="C241" s="7" t="s">
        <v>0</v>
      </c>
      <c r="D241" s="7" t="s">
        <v>53</v>
      </c>
      <c r="E241" s="7" t="s">
        <v>58</v>
      </c>
      <c r="F241" s="7">
        <v>685</v>
      </c>
      <c r="G241" s="15">
        <v>2.74</v>
      </c>
      <c r="H241" s="15">
        <v>3.35</v>
      </c>
      <c r="I241" s="15" t="str">
        <f>IF(Vanzari!$D241="Băuturi alcoolice şi ţigări","ACCIZA","TVA")</f>
        <v>TVA</v>
      </c>
      <c r="J241" s="15">
        <f>IF(Vanzari!$D241="Băuturi alcoolice şi ţigări",Vanzari!$H241*0.05,Vanzari!$H241*0.09)</f>
        <v>0.30149999999999999</v>
      </c>
      <c r="K241" s="15">
        <f>SUM(Vanzari!$H241,Vanzari!$J241)</f>
        <v>3.6515</v>
      </c>
      <c r="L241" s="15">
        <f>Vanzari!$F241*Vanzari!$G241</f>
        <v>1876.9</v>
      </c>
      <c r="M241" s="15">
        <f>Vanzari!$F241*Vanzari!$K241</f>
        <v>2501.2775000000001</v>
      </c>
      <c r="N241" s="15" t="str">
        <f>IF(Vanzari!$M241&gt;Vanzari!$L241,"PROFIT","PIERDERE")</f>
        <v>PROFIT</v>
      </c>
      <c r="O241" s="15">
        <f>Vanzari!$M241-Vanzari!$L241</f>
        <v>624.37750000000005</v>
      </c>
      <c r="P241" s="15" cm="1">
        <f t="array" ref="P241">ProfitImpozitat(Vanzari!$O241)</f>
        <v>593.15862500000003</v>
      </c>
    </row>
    <row r="242" spans="1:16" x14ac:dyDescent="0.2">
      <c r="A242" s="14">
        <v>44452</v>
      </c>
      <c r="B242" s="7" t="s">
        <v>6</v>
      </c>
      <c r="C242" s="7" t="s">
        <v>59</v>
      </c>
      <c r="D242" s="7" t="s">
        <v>53</v>
      </c>
      <c r="E242" s="7" t="s">
        <v>57</v>
      </c>
      <c r="F242" s="7">
        <v>270</v>
      </c>
      <c r="G242" s="15">
        <v>0.67</v>
      </c>
      <c r="H242" s="15">
        <v>3.15</v>
      </c>
      <c r="I242" s="15" t="str">
        <f>IF(Vanzari!$D242="Băuturi alcoolice şi ţigări","ACCIZA","TVA")</f>
        <v>TVA</v>
      </c>
      <c r="J242" s="15">
        <f>IF(Vanzari!$D242="Băuturi alcoolice şi ţigări",Vanzari!$H242*0.05,Vanzari!$H242*0.09)</f>
        <v>0.28349999999999997</v>
      </c>
      <c r="K242" s="15">
        <f>SUM(Vanzari!$H242,Vanzari!$J242)</f>
        <v>3.4335</v>
      </c>
      <c r="L242" s="15">
        <f>Vanzari!$F242*Vanzari!$G242</f>
        <v>180.9</v>
      </c>
      <c r="M242" s="15">
        <f>Vanzari!$F242*Vanzari!$K242</f>
        <v>927.04499999999996</v>
      </c>
      <c r="N242" s="15" t="str">
        <f>IF(Vanzari!$M242&gt;Vanzari!$L242,"PROFIT","PIERDERE")</f>
        <v>PROFIT</v>
      </c>
      <c r="O242" s="15">
        <f>Vanzari!$M242-Vanzari!$L242</f>
        <v>746.14499999999998</v>
      </c>
      <c r="P242" s="15" cm="1">
        <f t="array" ref="P242">ProfitImpozitat(Vanzari!$O242)</f>
        <v>708.83775000000003</v>
      </c>
    </row>
    <row r="243" spans="1:16" x14ac:dyDescent="0.2">
      <c r="A243" s="14">
        <v>44314</v>
      </c>
      <c r="B243" s="7" t="s">
        <v>5</v>
      </c>
      <c r="C243" s="7" t="s">
        <v>5</v>
      </c>
      <c r="D243" s="7" t="s">
        <v>53</v>
      </c>
      <c r="E243" s="7" t="s">
        <v>57</v>
      </c>
      <c r="F243" s="7">
        <v>645</v>
      </c>
      <c r="G243" s="15">
        <v>0.67</v>
      </c>
      <c r="H243" s="15">
        <v>1.68</v>
      </c>
      <c r="I243" s="15" t="str">
        <f>IF(Vanzari!$D243="Băuturi alcoolice şi ţigări","ACCIZA","TVA")</f>
        <v>TVA</v>
      </c>
      <c r="J243" s="15">
        <f>IF(Vanzari!$D243="Băuturi alcoolice şi ţigări",Vanzari!$H243*0.05,Vanzari!$H243*0.09)</f>
        <v>0.1512</v>
      </c>
      <c r="K243" s="15">
        <f>SUM(Vanzari!$H243,Vanzari!$J243)</f>
        <v>1.8311999999999999</v>
      </c>
      <c r="L243" s="15">
        <f>Vanzari!$F243*Vanzari!$G243</f>
        <v>432.15000000000003</v>
      </c>
      <c r="M243" s="15">
        <f>Vanzari!$F243*Vanzari!$K243</f>
        <v>1181.124</v>
      </c>
      <c r="N243" s="15" t="str">
        <f>IF(Vanzari!$M243&gt;Vanzari!$L243,"PROFIT","PIERDERE")</f>
        <v>PROFIT</v>
      </c>
      <c r="O243" s="15">
        <f>Vanzari!$M243-Vanzari!$L243</f>
        <v>748.97399999999993</v>
      </c>
      <c r="P243" s="15" cm="1">
        <f t="array" ref="P243">ProfitImpozitat(Vanzari!$O243)</f>
        <v>711.5252999999999</v>
      </c>
    </row>
    <row r="244" spans="1:16" x14ac:dyDescent="0.2">
      <c r="A244" s="14">
        <v>44506</v>
      </c>
      <c r="B244" s="7" t="s">
        <v>1</v>
      </c>
      <c r="C244" s="7" t="s">
        <v>0</v>
      </c>
      <c r="D244" s="7" t="s">
        <v>53</v>
      </c>
      <c r="E244" s="7" t="s">
        <v>17</v>
      </c>
      <c r="F244" s="7">
        <v>620</v>
      </c>
      <c r="G244" s="15">
        <v>0.52</v>
      </c>
      <c r="H244" s="15">
        <v>1.68</v>
      </c>
      <c r="I244" s="15" t="str">
        <f>IF(Vanzari!$D244="Băuturi alcoolice şi ţigări","ACCIZA","TVA")</f>
        <v>TVA</v>
      </c>
      <c r="J244" s="15">
        <f>IF(Vanzari!$D244="Băuturi alcoolice şi ţigări",Vanzari!$H244*0.05,Vanzari!$H244*0.09)</f>
        <v>0.1512</v>
      </c>
      <c r="K244" s="15">
        <f>SUM(Vanzari!$H244,Vanzari!$J244)</f>
        <v>1.8311999999999999</v>
      </c>
      <c r="L244" s="15">
        <f>Vanzari!$F244*Vanzari!$G244</f>
        <v>322.40000000000003</v>
      </c>
      <c r="M244" s="15">
        <f>Vanzari!$F244*Vanzari!$K244</f>
        <v>1135.3440000000001</v>
      </c>
      <c r="N244" s="15" t="str">
        <f>IF(Vanzari!$M244&gt;Vanzari!$L244,"PROFIT","PIERDERE")</f>
        <v>PROFIT</v>
      </c>
      <c r="O244" s="15">
        <f>Vanzari!$M244-Vanzari!$L244</f>
        <v>812.94399999999996</v>
      </c>
      <c r="P244" s="15" cm="1">
        <f t="array" ref="P244">ProfitImpozitat(Vanzari!$O244)</f>
        <v>772.29679999999996</v>
      </c>
    </row>
    <row r="245" spans="1:16" x14ac:dyDescent="0.2">
      <c r="A245" s="17">
        <v>44614</v>
      </c>
      <c r="B245" s="18" t="s">
        <v>6</v>
      </c>
      <c r="C245" s="18" t="s">
        <v>59</v>
      </c>
      <c r="D245" s="18" t="s">
        <v>53</v>
      </c>
      <c r="E245" s="18" t="s">
        <v>17</v>
      </c>
      <c r="F245" s="18">
        <v>310</v>
      </c>
      <c r="G245" s="19">
        <v>0.52</v>
      </c>
      <c r="H245" s="19">
        <v>3.1500000000000004</v>
      </c>
      <c r="I245" s="19" t="str">
        <f>IF(Vanzari!$D245="Băuturi alcoolice şi ţigări","ACCIZA","TVA")</f>
        <v>TVA</v>
      </c>
      <c r="J245" s="19">
        <f>IF(Vanzari!$D245="Băuturi alcoolice şi ţigări",Vanzari!$H245*0.05,Vanzari!$H245*0.09)</f>
        <v>0.28350000000000003</v>
      </c>
      <c r="K245" s="19">
        <f>SUM(Vanzari!$H245,Vanzari!$J245)</f>
        <v>3.4335000000000004</v>
      </c>
      <c r="L245" s="19">
        <f>Vanzari!$F245*Vanzari!$G245</f>
        <v>161.20000000000002</v>
      </c>
      <c r="M245" s="19">
        <f>Vanzari!$F245*Vanzari!$K245</f>
        <v>1064.3850000000002</v>
      </c>
      <c r="N245" s="19" t="str">
        <f>IF(Vanzari!$M245&gt;Vanzari!$L245,"PROFIT","PIERDERE")</f>
        <v>PROFIT</v>
      </c>
      <c r="O245" s="19">
        <f>Vanzari!$M245-Vanzari!$L245</f>
        <v>903.18500000000017</v>
      </c>
      <c r="P245" s="19" cm="1">
        <f t="array" ref="P245">ProfitImpozitat(Vanzari!$O245)</f>
        <v>858.02575000000013</v>
      </c>
    </row>
  </sheetData>
  <autoFilter ref="A1:P245" xr:uid="{8D01C613-9A1C-4F54-BDA7-1305D16439F1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40710-C6BF-9E4E-A2BA-7F1225F7B382}">
  <dimension ref="B2:D14"/>
  <sheetViews>
    <sheetView workbookViewId="0">
      <selection activeCell="C41" sqref="C41"/>
    </sheetView>
  </sheetViews>
  <sheetFormatPr baseColWidth="10" defaultRowHeight="15" x14ac:dyDescent="0.2"/>
  <cols>
    <col min="2" max="2" width="18.5" bestFit="1" customWidth="1"/>
    <col min="3" max="3" width="77.5" bestFit="1" customWidth="1"/>
  </cols>
  <sheetData>
    <row r="2" spans="2:4" x14ac:dyDescent="0.2">
      <c r="B2" s="20" t="s">
        <v>69</v>
      </c>
    </row>
    <row r="3" spans="2:4" x14ac:dyDescent="0.2">
      <c r="B3" s="3"/>
    </row>
    <row r="4" spans="2:4" x14ac:dyDescent="0.2">
      <c r="B4" s="20" t="s">
        <v>61</v>
      </c>
      <c r="C4" s="21" t="s">
        <v>62</v>
      </c>
    </row>
    <row r="5" spans="2:4" x14ac:dyDescent="0.2">
      <c r="B5" s="3"/>
    </row>
    <row r="6" spans="2:4" x14ac:dyDescent="0.2">
      <c r="B6" s="3"/>
      <c r="C6" t="s">
        <v>63</v>
      </c>
      <c r="D6" s="23">
        <f>VLOOKUP(250,Vanzari!F:G,2,FALSE)</f>
        <v>2.2000000000000002</v>
      </c>
    </row>
    <row r="7" spans="2:4" x14ac:dyDescent="0.2">
      <c r="B7" s="3"/>
    </row>
    <row r="8" spans="2:4" ht="16" x14ac:dyDescent="0.2">
      <c r="B8" s="20" t="s">
        <v>64</v>
      </c>
      <c r="C8" s="22" t="s">
        <v>65</v>
      </c>
    </row>
    <row r="9" spans="2:4" x14ac:dyDescent="0.2">
      <c r="B9" s="3"/>
    </row>
    <row r="10" spans="2:4" x14ac:dyDescent="0.2">
      <c r="B10" s="3"/>
      <c r="C10" t="s">
        <v>66</v>
      </c>
      <c r="D10" s="24">
        <f>AVERAGE(Vanzari!F:F)</f>
        <v>193.03278688524591</v>
      </c>
    </row>
    <row r="11" spans="2:4" x14ac:dyDescent="0.2">
      <c r="B11" s="3"/>
    </row>
    <row r="12" spans="2:4" x14ac:dyDescent="0.2">
      <c r="B12" s="20" t="s">
        <v>64</v>
      </c>
      <c r="C12" s="21" t="s">
        <v>67</v>
      </c>
    </row>
    <row r="13" spans="2:4" x14ac:dyDescent="0.2">
      <c r="B13" s="3"/>
    </row>
    <row r="14" spans="2:4" x14ac:dyDescent="0.2">
      <c r="B14" s="3"/>
      <c r="C14" t="s">
        <v>68</v>
      </c>
      <c r="D14" s="23">
        <f>SUBTOTAL(9,Vanzari!F:F)</f>
        <v>47100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F06F2-1CA1-F346-AEDA-E15E9B8200C1}">
  <dimension ref="A1:F34"/>
  <sheetViews>
    <sheetView workbookViewId="0">
      <selection activeCell="F3" sqref="F3"/>
    </sheetView>
  </sheetViews>
  <sheetFormatPr baseColWidth="10" defaultRowHeight="15" x14ac:dyDescent="0.2"/>
  <cols>
    <col min="1" max="1" width="22.5" bestFit="1" customWidth="1"/>
    <col min="2" max="2" width="14.83203125" bestFit="1" customWidth="1"/>
    <col min="3" max="3" width="6.83203125" bestFit="1" customWidth="1"/>
    <col min="4" max="4" width="9" bestFit="1" customWidth="1"/>
    <col min="5" max="5" width="8.5" bestFit="1" customWidth="1"/>
    <col min="6" max="6" width="10" bestFit="1" customWidth="1"/>
    <col min="7" max="8" width="20.83203125" bestFit="1" customWidth="1"/>
    <col min="9" max="9" width="25.1640625" bestFit="1" customWidth="1"/>
    <col min="10" max="10" width="17.6640625" bestFit="1" customWidth="1"/>
  </cols>
  <sheetData>
    <row r="1" spans="1:6" x14ac:dyDescent="0.2">
      <c r="A1" s="4" t="s">
        <v>33</v>
      </c>
      <c r="B1" t="s">
        <v>49</v>
      </c>
    </row>
    <row r="3" spans="1:6" x14ac:dyDescent="0.2">
      <c r="A3" s="4" t="s">
        <v>48</v>
      </c>
      <c r="B3" s="4" t="s">
        <v>45</v>
      </c>
    </row>
    <row r="4" spans="1:6" x14ac:dyDescent="0.2">
      <c r="A4" s="4" t="s">
        <v>47</v>
      </c>
      <c r="B4" t="s">
        <v>59</v>
      </c>
      <c r="C4" t="s">
        <v>5</v>
      </c>
      <c r="D4" t="s">
        <v>0</v>
      </c>
      <c r="E4" t="s">
        <v>60</v>
      </c>
      <c r="F4" t="s">
        <v>46</v>
      </c>
    </row>
    <row r="5" spans="1:6" x14ac:dyDescent="0.2">
      <c r="A5" s="5" t="s">
        <v>23</v>
      </c>
      <c r="B5" s="6">
        <v>948</v>
      </c>
      <c r="C5" s="6">
        <v>1150</v>
      </c>
      <c r="D5" s="6">
        <v>439</v>
      </c>
      <c r="E5" s="6">
        <v>1486</v>
      </c>
      <c r="F5" s="6">
        <v>4023</v>
      </c>
    </row>
    <row r="6" spans="1:6" x14ac:dyDescent="0.2">
      <c r="A6" s="5" t="s">
        <v>19</v>
      </c>
      <c r="B6" s="6">
        <v>720</v>
      </c>
      <c r="C6" s="6"/>
      <c r="D6" s="6"/>
      <c r="E6" s="6">
        <v>300</v>
      </c>
      <c r="F6" s="6">
        <v>1020</v>
      </c>
    </row>
    <row r="7" spans="1:6" x14ac:dyDescent="0.2">
      <c r="A7" s="5" t="s">
        <v>3</v>
      </c>
      <c r="B7" s="6">
        <v>625</v>
      </c>
      <c r="C7" s="6">
        <v>125</v>
      </c>
      <c r="D7" s="6"/>
      <c r="E7" s="6"/>
      <c r="F7" s="6">
        <v>750</v>
      </c>
    </row>
    <row r="8" spans="1:6" x14ac:dyDescent="0.2">
      <c r="A8" s="5" t="s">
        <v>24</v>
      </c>
      <c r="B8" s="6">
        <v>250</v>
      </c>
      <c r="C8" s="6"/>
      <c r="D8" s="6"/>
      <c r="E8" s="6">
        <v>315</v>
      </c>
      <c r="F8" s="6">
        <v>565</v>
      </c>
    </row>
    <row r="9" spans="1:6" x14ac:dyDescent="0.2">
      <c r="A9" s="5" t="s">
        <v>2</v>
      </c>
      <c r="B9" s="6">
        <v>835</v>
      </c>
      <c r="C9" s="6">
        <v>442</v>
      </c>
      <c r="D9" s="6">
        <v>1212</v>
      </c>
      <c r="E9" s="6">
        <v>20</v>
      </c>
      <c r="F9" s="6">
        <v>2509</v>
      </c>
    </row>
    <row r="10" spans="1:6" x14ac:dyDescent="0.2">
      <c r="A10" s="5" t="s">
        <v>18</v>
      </c>
      <c r="B10" s="6">
        <v>951</v>
      </c>
      <c r="C10" s="6">
        <v>602</v>
      </c>
      <c r="D10" s="6">
        <v>121</v>
      </c>
      <c r="E10" s="6">
        <v>56</v>
      </c>
      <c r="F10" s="6">
        <v>1730</v>
      </c>
    </row>
    <row r="11" spans="1:6" x14ac:dyDescent="0.2">
      <c r="A11" s="5" t="s">
        <v>12</v>
      </c>
      <c r="B11" s="6">
        <v>275</v>
      </c>
      <c r="C11" s="6"/>
      <c r="D11" s="6">
        <v>65</v>
      </c>
      <c r="E11" s="6">
        <v>301</v>
      </c>
      <c r="F11" s="6">
        <v>641</v>
      </c>
    </row>
    <row r="12" spans="1:6" x14ac:dyDescent="0.2">
      <c r="A12" s="5" t="s">
        <v>56</v>
      </c>
      <c r="B12" s="6">
        <v>1835</v>
      </c>
      <c r="C12" s="6">
        <v>410</v>
      </c>
      <c r="D12" s="6">
        <v>560</v>
      </c>
      <c r="E12" s="6"/>
      <c r="F12" s="6">
        <v>2805</v>
      </c>
    </row>
    <row r="13" spans="1:6" x14ac:dyDescent="0.2">
      <c r="A13" s="5" t="s">
        <v>58</v>
      </c>
      <c r="B13" s="6">
        <v>134</v>
      </c>
      <c r="C13" s="6">
        <v>835</v>
      </c>
      <c r="D13" s="6">
        <v>685</v>
      </c>
      <c r="E13" s="6">
        <v>285</v>
      </c>
      <c r="F13" s="6">
        <v>1939</v>
      </c>
    </row>
    <row r="14" spans="1:6" x14ac:dyDescent="0.2">
      <c r="A14" s="5" t="s">
        <v>8</v>
      </c>
      <c r="B14" s="6">
        <v>750</v>
      </c>
      <c r="C14" s="6">
        <v>30</v>
      </c>
      <c r="D14" s="6">
        <v>435</v>
      </c>
      <c r="E14" s="6">
        <v>89</v>
      </c>
      <c r="F14" s="6">
        <v>1304</v>
      </c>
    </row>
    <row r="15" spans="1:6" x14ac:dyDescent="0.2">
      <c r="A15" s="5" t="s">
        <v>13</v>
      </c>
      <c r="B15" s="6">
        <v>287</v>
      </c>
      <c r="C15" s="6">
        <v>73</v>
      </c>
      <c r="D15" s="6">
        <v>238</v>
      </c>
      <c r="E15" s="6">
        <v>162</v>
      </c>
      <c r="F15" s="6">
        <v>760</v>
      </c>
    </row>
    <row r="16" spans="1:6" x14ac:dyDescent="0.2">
      <c r="A16" s="5" t="s">
        <v>57</v>
      </c>
      <c r="B16" s="6">
        <v>270</v>
      </c>
      <c r="C16" s="6">
        <v>1140</v>
      </c>
      <c r="D16" s="6">
        <v>285</v>
      </c>
      <c r="E16" s="6">
        <v>310</v>
      </c>
      <c r="F16" s="6">
        <v>2005</v>
      </c>
    </row>
    <row r="17" spans="1:6" x14ac:dyDescent="0.2">
      <c r="A17" s="5" t="s">
        <v>11</v>
      </c>
      <c r="B17" s="6">
        <v>380</v>
      </c>
      <c r="C17" s="6">
        <v>180</v>
      </c>
      <c r="D17" s="6">
        <v>120</v>
      </c>
      <c r="E17" s="6"/>
      <c r="F17" s="6">
        <v>680</v>
      </c>
    </row>
    <row r="18" spans="1:6" x14ac:dyDescent="0.2">
      <c r="A18" s="5" t="s">
        <v>21</v>
      </c>
      <c r="B18" s="6">
        <v>143</v>
      </c>
      <c r="C18" s="6">
        <v>231</v>
      </c>
      <c r="D18" s="6">
        <v>379</v>
      </c>
      <c r="E18" s="6">
        <v>540</v>
      </c>
      <c r="F18" s="6">
        <v>1293</v>
      </c>
    </row>
    <row r="19" spans="1:6" x14ac:dyDescent="0.2">
      <c r="A19" s="5" t="s">
        <v>28</v>
      </c>
      <c r="B19" s="6">
        <v>870</v>
      </c>
      <c r="C19" s="6">
        <v>425</v>
      </c>
      <c r="D19" s="6">
        <v>950</v>
      </c>
      <c r="E19" s="6"/>
      <c r="F19" s="6">
        <v>2245</v>
      </c>
    </row>
    <row r="20" spans="1:6" x14ac:dyDescent="0.2">
      <c r="A20" s="5" t="s">
        <v>22</v>
      </c>
      <c r="B20" s="6">
        <v>530</v>
      </c>
      <c r="C20" s="6">
        <v>210</v>
      </c>
      <c r="D20" s="6"/>
      <c r="E20" s="6"/>
      <c r="F20" s="6">
        <v>740</v>
      </c>
    </row>
    <row r="21" spans="1:6" x14ac:dyDescent="0.2">
      <c r="A21" s="5" t="s">
        <v>15</v>
      </c>
      <c r="B21" s="6">
        <v>957</v>
      </c>
      <c r="C21" s="6">
        <v>105</v>
      </c>
      <c r="D21" s="6">
        <v>193</v>
      </c>
      <c r="E21" s="6">
        <v>204</v>
      </c>
      <c r="F21" s="6">
        <v>1459</v>
      </c>
    </row>
    <row r="22" spans="1:6" x14ac:dyDescent="0.2">
      <c r="A22" s="5" t="s">
        <v>7</v>
      </c>
      <c r="B22" s="6">
        <v>996</v>
      </c>
      <c r="C22" s="6">
        <v>690</v>
      </c>
      <c r="D22" s="6"/>
      <c r="E22" s="6"/>
      <c r="F22" s="6">
        <v>1686</v>
      </c>
    </row>
    <row r="23" spans="1:6" x14ac:dyDescent="0.2">
      <c r="A23" s="5" t="s">
        <v>25</v>
      </c>
      <c r="B23" s="6">
        <v>1440</v>
      </c>
      <c r="C23" s="6">
        <v>663</v>
      </c>
      <c r="D23" s="6">
        <v>455</v>
      </c>
      <c r="E23" s="6">
        <v>425</v>
      </c>
      <c r="F23" s="6">
        <v>2983</v>
      </c>
    </row>
    <row r="24" spans="1:6" x14ac:dyDescent="0.2">
      <c r="A24" s="5" t="s">
        <v>27</v>
      </c>
      <c r="B24" s="6">
        <v>1198</v>
      </c>
      <c r="C24" s="6">
        <v>1295</v>
      </c>
      <c r="D24" s="6">
        <v>1000</v>
      </c>
      <c r="E24" s="6"/>
      <c r="F24" s="6">
        <v>3493</v>
      </c>
    </row>
    <row r="25" spans="1:6" x14ac:dyDescent="0.2">
      <c r="A25" s="5" t="s">
        <v>17</v>
      </c>
      <c r="B25" s="6">
        <v>1310</v>
      </c>
      <c r="C25" s="6">
        <v>210</v>
      </c>
      <c r="D25" s="6">
        <v>1644</v>
      </c>
      <c r="E25" s="6">
        <v>410</v>
      </c>
      <c r="F25" s="6">
        <v>3574</v>
      </c>
    </row>
    <row r="26" spans="1:6" x14ac:dyDescent="0.2">
      <c r="A26" s="5" t="s">
        <v>10</v>
      </c>
      <c r="B26" s="6">
        <v>102</v>
      </c>
      <c r="C26" s="6">
        <v>1110</v>
      </c>
      <c r="D26" s="6">
        <v>390</v>
      </c>
      <c r="E26" s="6">
        <v>41</v>
      </c>
      <c r="F26" s="6">
        <v>1643</v>
      </c>
    </row>
    <row r="27" spans="1:6" x14ac:dyDescent="0.2">
      <c r="A27" s="5" t="s">
        <v>54</v>
      </c>
      <c r="B27" s="6">
        <v>302</v>
      </c>
      <c r="C27" s="6">
        <v>183</v>
      </c>
      <c r="D27" s="6">
        <v>470</v>
      </c>
      <c r="E27" s="6">
        <v>125</v>
      </c>
      <c r="F27" s="6">
        <v>1080</v>
      </c>
    </row>
    <row r="28" spans="1:6" x14ac:dyDescent="0.2">
      <c r="A28" s="5" t="s">
        <v>20</v>
      </c>
      <c r="B28" s="6">
        <v>326</v>
      </c>
      <c r="C28" s="6">
        <v>473</v>
      </c>
      <c r="D28" s="6">
        <v>80</v>
      </c>
      <c r="E28" s="6">
        <v>274</v>
      </c>
      <c r="F28" s="6">
        <v>1153</v>
      </c>
    </row>
    <row r="29" spans="1:6" x14ac:dyDescent="0.2">
      <c r="A29" s="5" t="s">
        <v>26</v>
      </c>
      <c r="B29" s="6">
        <v>464</v>
      </c>
      <c r="C29" s="6">
        <v>167</v>
      </c>
      <c r="D29" s="6">
        <v>399</v>
      </c>
      <c r="E29" s="6">
        <v>132</v>
      </c>
      <c r="F29" s="6">
        <v>1162</v>
      </c>
    </row>
    <row r="30" spans="1:6" x14ac:dyDescent="0.2">
      <c r="A30" s="5" t="s">
        <v>14</v>
      </c>
      <c r="B30" s="6">
        <v>85</v>
      </c>
      <c r="C30" s="6">
        <v>169</v>
      </c>
      <c r="D30" s="6">
        <v>73</v>
      </c>
      <c r="E30" s="6"/>
      <c r="F30" s="6">
        <v>327</v>
      </c>
    </row>
    <row r="31" spans="1:6" x14ac:dyDescent="0.2">
      <c r="A31" s="5" t="s">
        <v>9</v>
      </c>
      <c r="B31" s="6">
        <v>168</v>
      </c>
      <c r="C31" s="6">
        <v>118</v>
      </c>
      <c r="D31" s="6">
        <v>163</v>
      </c>
      <c r="E31" s="6">
        <v>128</v>
      </c>
      <c r="F31" s="6">
        <v>577</v>
      </c>
    </row>
    <row r="32" spans="1:6" x14ac:dyDescent="0.2">
      <c r="A32" s="5" t="s">
        <v>55</v>
      </c>
      <c r="B32" s="6">
        <v>880</v>
      </c>
      <c r="C32" s="6">
        <v>378</v>
      </c>
      <c r="D32" s="6">
        <v>191</v>
      </c>
      <c r="E32" s="6">
        <v>120</v>
      </c>
      <c r="F32" s="6">
        <v>1569</v>
      </c>
    </row>
    <row r="33" spans="1:6" x14ac:dyDescent="0.2">
      <c r="A33" s="5" t="s">
        <v>16</v>
      </c>
      <c r="B33" s="6">
        <v>279</v>
      </c>
      <c r="C33" s="6">
        <v>464</v>
      </c>
      <c r="D33" s="6">
        <v>434</v>
      </c>
      <c r="E33" s="6">
        <v>208</v>
      </c>
      <c r="F33" s="6">
        <v>1385</v>
      </c>
    </row>
    <row r="34" spans="1:6" x14ac:dyDescent="0.2">
      <c r="A34" s="5" t="s">
        <v>46</v>
      </c>
      <c r="B34" s="6">
        <v>18310</v>
      </c>
      <c r="C34" s="6">
        <v>11878</v>
      </c>
      <c r="D34" s="6">
        <v>10981</v>
      </c>
      <c r="E34" s="6">
        <v>5931</v>
      </c>
      <c r="F34" s="6">
        <v>47100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205A1-041F-4B49-ACF8-5E13E85636FD}">
  <dimension ref="A1:F3"/>
  <sheetViews>
    <sheetView zoomScale="125" workbookViewId="0">
      <selection activeCell="D1" sqref="D1"/>
    </sheetView>
  </sheetViews>
  <sheetFormatPr baseColWidth="10" defaultRowHeight="15" x14ac:dyDescent="0.2"/>
  <cols>
    <col min="1" max="1" width="16.5" bestFit="1" customWidth="1"/>
    <col min="2" max="2" width="20.33203125" bestFit="1" customWidth="1"/>
    <col min="3" max="3" width="8.1640625" bestFit="1" customWidth="1"/>
    <col min="4" max="4" width="15.5" bestFit="1" customWidth="1"/>
    <col min="5" max="5" width="7.1640625" bestFit="1" customWidth="1"/>
    <col min="6" max="6" width="10.1640625" bestFit="1" customWidth="1"/>
  </cols>
  <sheetData>
    <row r="1" spans="1:6" x14ac:dyDescent="0.2">
      <c r="B1" s="4" t="s">
        <v>45</v>
      </c>
    </row>
    <row r="2" spans="1:6" x14ac:dyDescent="0.2">
      <c r="B2" t="s">
        <v>70</v>
      </c>
      <c r="C2" t="s">
        <v>4</v>
      </c>
      <c r="D2" t="s">
        <v>72</v>
      </c>
      <c r="E2" t="s">
        <v>71</v>
      </c>
      <c r="F2" t="s">
        <v>46</v>
      </c>
    </row>
    <row r="3" spans="1:6" x14ac:dyDescent="0.2">
      <c r="A3" t="s">
        <v>50</v>
      </c>
      <c r="B3" s="6">
        <v>153.55500000000004</v>
      </c>
      <c r="C3" s="6">
        <v>11.523600000000002</v>
      </c>
      <c r="D3" s="6">
        <v>23.154120000000006</v>
      </c>
      <c r="E3" s="6">
        <v>5.2992000000000026</v>
      </c>
      <c r="F3" s="6">
        <v>193.53192000000007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B3755-C1E9-BF4E-A7D8-74DC3FFD26B9}">
  <dimension ref="A1:F7"/>
  <sheetViews>
    <sheetView tabSelected="1" workbookViewId="0">
      <selection activeCell="G35" sqref="G35"/>
    </sheetView>
  </sheetViews>
  <sheetFormatPr baseColWidth="10" defaultRowHeight="15" x14ac:dyDescent="0.2"/>
  <cols>
    <col min="1" max="1" width="20.83203125" bestFit="1" customWidth="1"/>
    <col min="2" max="2" width="14.83203125" bestFit="1" customWidth="1"/>
    <col min="3" max="3" width="8.5" bestFit="1" customWidth="1"/>
    <col min="4" max="4" width="6.1640625" bestFit="1" customWidth="1"/>
    <col min="5" max="5" width="8.83203125" bestFit="1" customWidth="1"/>
    <col min="6" max="6" width="10" bestFit="1" customWidth="1"/>
  </cols>
  <sheetData>
    <row r="1" spans="1:6" x14ac:dyDescent="0.2">
      <c r="A1" s="4" t="s">
        <v>48</v>
      </c>
      <c r="B1" s="4" t="s">
        <v>45</v>
      </c>
    </row>
    <row r="2" spans="1:6" x14ac:dyDescent="0.2">
      <c r="A2" s="4" t="s">
        <v>47</v>
      </c>
      <c r="B2" t="s">
        <v>1</v>
      </c>
      <c r="C2" t="s">
        <v>5</v>
      </c>
      <c r="D2" t="s">
        <v>6</v>
      </c>
      <c r="E2" t="s">
        <v>60</v>
      </c>
      <c r="F2" t="s">
        <v>46</v>
      </c>
    </row>
    <row r="3" spans="1:6" x14ac:dyDescent="0.2">
      <c r="A3" s="5" t="s">
        <v>70</v>
      </c>
      <c r="B3" s="6">
        <v>1975</v>
      </c>
      <c r="C3" s="6">
        <v>1856</v>
      </c>
      <c r="D3" s="6">
        <v>2706</v>
      </c>
      <c r="E3" s="6">
        <v>1149</v>
      </c>
      <c r="F3" s="6">
        <v>7686</v>
      </c>
    </row>
    <row r="4" spans="1:6" x14ac:dyDescent="0.2">
      <c r="A4" s="5" t="s">
        <v>4</v>
      </c>
      <c r="B4" s="6">
        <v>680</v>
      </c>
      <c r="C4" s="6">
        <v>925</v>
      </c>
      <c r="D4" s="6">
        <v>4340</v>
      </c>
      <c r="E4" s="6">
        <v>615</v>
      </c>
      <c r="F4" s="6">
        <v>6560</v>
      </c>
    </row>
    <row r="5" spans="1:6" x14ac:dyDescent="0.2">
      <c r="A5" s="5" t="s">
        <v>72</v>
      </c>
      <c r="B5" s="6">
        <v>5712</v>
      </c>
      <c r="C5" s="6">
        <v>6222</v>
      </c>
      <c r="D5" s="6">
        <v>8554</v>
      </c>
      <c r="E5" s="6">
        <v>3162</v>
      </c>
      <c r="F5" s="6">
        <v>23650</v>
      </c>
    </row>
    <row r="6" spans="1:6" x14ac:dyDescent="0.2">
      <c r="A6" s="5" t="s">
        <v>71</v>
      </c>
      <c r="B6" s="6">
        <v>2614</v>
      </c>
      <c r="C6" s="6">
        <v>2875</v>
      </c>
      <c r="D6" s="6">
        <v>2710</v>
      </c>
      <c r="E6" s="6">
        <v>1005</v>
      </c>
      <c r="F6" s="6">
        <v>9204</v>
      </c>
    </row>
    <row r="7" spans="1:6" x14ac:dyDescent="0.2">
      <c r="A7" s="5" t="s">
        <v>46</v>
      </c>
      <c r="B7" s="6">
        <v>10981</v>
      </c>
      <c r="C7" s="6">
        <v>11878</v>
      </c>
      <c r="D7" s="6">
        <v>18310</v>
      </c>
      <c r="E7" s="6">
        <v>5931</v>
      </c>
      <c r="F7" s="6">
        <v>47100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Vanzari</vt:lpstr>
      <vt:lpstr>Functii</vt:lpstr>
      <vt:lpstr>Pivot table</vt:lpstr>
      <vt:lpstr>Grafic1</vt:lpstr>
      <vt:lpstr>Grafic2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Lucky777</dc:creator>
  <cp:lastModifiedBy>Microsoft Office User</cp:lastModifiedBy>
  <dcterms:created xsi:type="dcterms:W3CDTF">2015-06-05T18:17:20Z</dcterms:created>
  <dcterms:modified xsi:type="dcterms:W3CDTF">2022-05-19T10:31:13Z</dcterms:modified>
</cp:coreProperties>
</file>